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erica.warren\Documents\GitHub\RS_Word-template_assets\"/>
    </mc:Choice>
  </mc:AlternateContent>
  <bookViews>
    <workbookView xWindow="0" yWindow="0" windowWidth="38400" windowHeight="17985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Styles!$A$3:$CP$31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22" i="1" l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94" i="1"/>
  <c r="E93" i="1"/>
  <c r="E89" i="1"/>
  <c r="E88" i="1"/>
  <c r="E87" i="1"/>
  <c r="E86" i="1"/>
  <c r="E85" i="1"/>
  <c r="E84" i="1"/>
  <c r="E83" i="1"/>
  <c r="E82" i="1"/>
  <c r="E81" i="1"/>
  <c r="E80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CO32" i="1"/>
  <c r="CO122" i="1"/>
  <c r="CO121" i="1"/>
  <c r="CO120" i="1"/>
  <c r="CO33" i="1"/>
  <c r="CO34" i="1"/>
  <c r="CO35" i="1"/>
  <c r="CO36" i="1"/>
  <c r="CO37" i="1"/>
  <c r="CO38" i="1"/>
  <c r="CO39" i="1"/>
  <c r="CO40" i="1"/>
  <c r="CO41" i="1"/>
  <c r="CO42" i="1"/>
  <c r="CO43" i="1"/>
  <c r="CO44" i="1"/>
  <c r="CO45" i="1"/>
  <c r="CO47" i="1"/>
  <c r="CO48" i="1"/>
  <c r="CO49" i="1"/>
  <c r="CO50" i="1"/>
  <c r="CO51" i="1"/>
  <c r="CO52" i="1"/>
  <c r="CO53" i="1"/>
  <c r="CO54" i="1"/>
  <c r="CO55" i="1"/>
  <c r="CO56" i="1"/>
  <c r="CO57" i="1"/>
  <c r="CO58" i="1"/>
  <c r="CO59" i="1"/>
  <c r="CO60" i="1"/>
  <c r="CO61" i="1"/>
  <c r="CO62" i="1"/>
  <c r="CO63" i="1"/>
  <c r="CO64" i="1"/>
  <c r="CO65" i="1"/>
  <c r="CO66" i="1"/>
  <c r="CO67" i="1"/>
  <c r="CO68" i="1"/>
  <c r="CO69" i="1"/>
  <c r="CO70" i="1"/>
  <c r="CO71" i="1"/>
  <c r="CO72" i="1"/>
  <c r="CO73" i="1"/>
  <c r="CO74" i="1"/>
  <c r="CO75" i="1"/>
  <c r="CO76" i="1"/>
  <c r="CO77" i="1"/>
  <c r="CO78" i="1"/>
  <c r="CO79" i="1"/>
  <c r="CO80" i="1"/>
  <c r="CO81" i="1"/>
  <c r="CO82" i="1"/>
  <c r="CO83" i="1"/>
  <c r="CO84" i="1"/>
  <c r="CO85" i="1"/>
  <c r="CO86" i="1"/>
  <c r="CO87" i="1"/>
  <c r="CO88" i="1"/>
  <c r="CO89" i="1"/>
  <c r="CO90" i="1"/>
  <c r="CO91" i="1"/>
  <c r="CO92" i="1"/>
  <c r="CO93" i="1"/>
  <c r="CO94" i="1"/>
  <c r="CO95" i="1"/>
  <c r="CO96" i="1"/>
  <c r="CO97" i="1"/>
  <c r="CO98" i="1"/>
  <c r="CO99" i="1"/>
  <c r="CO100" i="1"/>
  <c r="CO101" i="1"/>
  <c r="CO102" i="1"/>
  <c r="CO103" i="1"/>
  <c r="CO104" i="1"/>
  <c r="CO105" i="1"/>
  <c r="CO106" i="1"/>
  <c r="CO107" i="1"/>
  <c r="CO108" i="1"/>
  <c r="CO109" i="1"/>
  <c r="CO110" i="1"/>
  <c r="CO111" i="1"/>
  <c r="CO112" i="1"/>
  <c r="CO113" i="1"/>
  <c r="CO114" i="1"/>
  <c r="CO115" i="1"/>
  <c r="CO116" i="1"/>
  <c r="CO117" i="1"/>
  <c r="CO118" i="1"/>
  <c r="CO119" i="1"/>
  <c r="A123" i="1"/>
  <c r="A124" i="1"/>
  <c r="A125" i="1"/>
  <c r="A126" i="1"/>
  <c r="A127" i="1"/>
  <c r="A128" i="1"/>
  <c r="A129" i="1"/>
  <c r="A130" i="1"/>
  <c r="A4" i="1"/>
  <c r="CO4" i="1"/>
  <c r="A5" i="1"/>
  <c r="CO5" i="1"/>
  <c r="A7" i="1"/>
  <c r="CO7" i="1"/>
  <c r="A6" i="1"/>
  <c r="CO6" i="1"/>
  <c r="A8" i="1"/>
  <c r="CO8" i="1"/>
  <c r="A9" i="1"/>
  <c r="CO9" i="1"/>
  <c r="A10" i="1"/>
  <c r="CO10" i="1"/>
  <c r="A11" i="1"/>
  <c r="CO11" i="1"/>
  <c r="A12" i="1"/>
  <c r="CO12" i="1"/>
  <c r="A13" i="1"/>
  <c r="CO13" i="1"/>
  <c r="A14" i="1"/>
  <c r="CO14" i="1"/>
  <c r="A31" i="1"/>
  <c r="CO31" i="1"/>
  <c r="A15" i="1"/>
  <c r="CO15" i="1"/>
  <c r="A16" i="1"/>
  <c r="CO16" i="1"/>
  <c r="A17" i="1"/>
  <c r="CO17" i="1"/>
  <c r="A18" i="1"/>
  <c r="CO18" i="1"/>
  <c r="A19" i="1"/>
  <c r="CO19" i="1"/>
  <c r="A22" i="1"/>
  <c r="CO22" i="1"/>
  <c r="A20" i="1"/>
  <c r="CO20" i="1"/>
  <c r="A21" i="1"/>
  <c r="CO21" i="1"/>
  <c r="A23" i="1"/>
  <c r="CO23" i="1"/>
  <c r="A27" i="1"/>
  <c r="CO27" i="1"/>
  <c r="A26" i="1"/>
  <c r="CO26" i="1"/>
  <c r="A25" i="1"/>
  <c r="CO25" i="1"/>
  <c r="A24" i="1"/>
  <c r="CO24" i="1"/>
  <c r="A28" i="1"/>
  <c r="CO28" i="1"/>
  <c r="A29" i="1"/>
  <c r="CO29" i="1"/>
  <c r="A30" i="1"/>
  <c r="CO30" i="1"/>
  <c r="CO123" i="1"/>
  <c r="CO124" i="1"/>
  <c r="CO125" i="1"/>
  <c r="CO126" i="1"/>
  <c r="CO127" i="1"/>
  <c r="CO128" i="1"/>
  <c r="CO129" i="1"/>
  <c r="CO130" i="1"/>
</calcChain>
</file>

<file path=xl/sharedStrings.xml><?xml version="1.0" encoding="utf-8"?>
<sst xmlns="http://schemas.openxmlformats.org/spreadsheetml/2006/main" count="1523" uniqueCount="597">
  <si>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</si>
  <si>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</si>
  <si>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</si>
  <si>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</si>
  <si>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</si>
  <si>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</si>
  <si>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</si>
  <si>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</si>
  <si>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</si>
  <si>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</si>
  <si>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</si>
  <si>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</si>
  <si>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</si>
  <si>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</si>
  <si>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</si>
  <si>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</si>
  <si>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</si>
  <si>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</si>
  <si>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</si>
  <si>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</si>
  <si>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</si>
  <si>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</si>
  <si>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</si>
  <si>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</si>
  <si>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</si>
  <si>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</si>
  <si>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</si>
  <si>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</si>
  <si>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</si>
  <si>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</si>
  <si>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</si>
  <si>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</si>
  <si>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</si>
  <si>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</si>
  <si>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</si>
  <si>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</si>
  <si>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</si>
  <si>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</si>
  <si>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</si>
  <si>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</si>
  <si>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</si>
  <si>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</si>
  <si>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</si>
  <si>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</si>
  <si>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</si>
  <si>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</si>
  <si>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</si>
  <si>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</si>
  <si>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</si>
  <si>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</si>
  <si>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</si>
  <si>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</si>
  <si>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</si>
  <si>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</si>
  <si>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</si>
  <si>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</si>
  <si>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</si>
  <si>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</si>
  <si>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</si>
  <si>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</si>
  <si>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</si>
  <si>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</si>
  <si>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</si>
  <si>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</si>
  <si>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</si>
  <si>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</si>
  <si>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</si>
  <si>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</si>
  <si>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128,0,128</t>
  </si>
  <si>
    <t>Times New Roman</t>
  </si>
  <si>
    <t>128,64,0</t>
  </si>
  <si>
    <t>Arial Narrow</t>
  </si>
  <si>
    <t>128,128,0</t>
  </si>
  <si>
    <t>0,0,128</t>
  </si>
  <si>
    <t>Default Paragraph Font</t>
  </si>
  <si>
    <t>255,0,0</t>
  </si>
  <si>
    <t>255,255,0</t>
  </si>
  <si>
    <t>0,255,0</t>
  </si>
  <si>
    <t>255,0,128</t>
  </si>
  <si>
    <t>Courier New</t>
  </si>
  <si>
    <t>0,128,128</t>
  </si>
  <si>
    <t>0,128,0</t>
  </si>
  <si>
    <t>255,128,0</t>
  </si>
  <si>
    <t>0,64,128</t>
  </si>
  <si>
    <t>0,255,128</t>
  </si>
  <si>
    <t>51,51,204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</si>
  <si>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</si>
  <si>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</si>
  <si>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</si>
  <si>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</si>
  <si>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</si>
  <si>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</si>
  <si>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</si>
  <si>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</si>
  <si>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</si>
  <si>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</si>
  <si>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</si>
  <si>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</si>
  <si>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</si>
  <si>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</si>
  <si>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</si>
  <si>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</si>
  <si>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</si>
  <si>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</si>
  <si>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</si>
  <si>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</si>
  <si>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</si>
  <si>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</si>
  <si>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</si>
  <si>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</si>
  <si>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102,255,204</t>
  </si>
  <si>
    <t>102,255,255</t>
  </si>
  <si>
    <t>204,102,255</t>
  </si>
  <si>
    <t>204,255,102</t>
  </si>
  <si>
    <t>255,102,102</t>
  </si>
  <si>
    <t>255,111,207</t>
  </si>
  <si>
    <t>255,153,204</t>
  </si>
  <si>
    <t>255,204,102</t>
  </si>
  <si>
    <t>217,217,217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</si>
  <si>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</si>
  <si>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</si>
  <si>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</si>
  <si>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</si>
  <si>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</si>
  <si>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</si>
  <si>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</si>
  <si>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</si>
  <si>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</si>
  <si>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</si>
  <si>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</si>
  <si>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</si>
  <si>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</si>
  <si>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</si>
  <si>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</si>
  <si>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</si>
  <si>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</si>
  <si>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</si>
  <si>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</si>
  <si>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</si>
  <si>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</si>
  <si>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</si>
  <si>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</si>
  <si>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</si>
  <si>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</si>
  <si>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</si>
  <si>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</si>
  <si>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</si>
  <si>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</si>
  <si>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</si>
  <si>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</si>
  <si>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</si>
  <si>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</si>
  <si>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</si>
  <si>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</si>
  <si>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</si>
  <si>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</si>
  <si>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</si>
  <si>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</si>
  <si>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</si>
  <si>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</si>
  <si>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</si>
  <si>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</si>
  <si>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</si>
  <si>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</si>
  <si>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</si>
  <si>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</si>
  <si>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</si>
  <si>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</si>
  <si>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</si>
  <si>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</si>
  <si>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</si>
  <si>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</si>
  <si>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</si>
  <si>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</si>
  <si>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</si>
  <si>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</si>
  <si>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</si>
  <si>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</si>
  <si>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</si>
  <si>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</si>
  <si>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</si>
  <si>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</si>
  <si>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</si>
  <si>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</si>
  <si>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</si>
  <si>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</si>
  <si>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</si>
  <si>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</si>
  <si>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</si>
  <si>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</si>
  <si>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</si>
  <si>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</si>
  <si>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</si>
  <si>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</si>
  <si>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</si>
  <si>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</si>
  <si>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</si>
  <si>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</si>
  <si>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</si>
  <si>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</si>
  <si>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</si>
  <si>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</si>
  <si>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</si>
  <si>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</si>
  <si>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</si>
  <si>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</si>
  <si>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</si>
  <si>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</si>
  <si>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</si>
  <si>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</si>
  <si>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</si>
  <si>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</si>
  <si>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</si>
  <si>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</si>
  <si>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</si>
  <si>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</si>
  <si>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</si>
  <si>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</si>
  <si>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</si>
  <si>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</si>
  <si>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</si>
  <si>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</si>
  <si>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</si>
  <si>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</si>
  <si>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</si>
  <si>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</si>
  <si>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</si>
  <si>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</si>
  <si>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</si>
  <si>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</si>
  <si>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</si>
  <si>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</si>
  <si>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</si>
  <si>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</si>
  <si>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</si>
  <si>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</si>
  <si>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</si>
  <si>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</si>
  <si>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</si>
  <si>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</si>
  <si>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</si>
  <si>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</si>
  <si>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</si>
  <si>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</si>
  <si>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</si>
  <si>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</si>
  <si>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</si>
  <si>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s</t>
  </si>
  <si>
    <t>xref</t>
  </si>
  <si>
    <t>url</t>
  </si>
  <si>
    <t>ital</t>
  </si>
  <si>
    <t>sub</t>
  </si>
  <si>
    <t>sym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</si>
  <si>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</si>
  <si>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</si>
  <si>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</si>
  <si>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</si>
  <si>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</si>
  <si>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</si>
  <si>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Section-Blank-Page</t>
  </si>
  <si>
    <t>Section-Intro-Chapter</t>
  </si>
  <si>
    <t>Section-Intro-Frontmatter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</si>
  <si>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</si>
  <si>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</si>
  <si>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</si>
  <si>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</si>
  <si>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</si>
  <si>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</si>
  <si>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</si>
  <si>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</si>
  <si>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</si>
  <si>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</si>
  <si>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</si>
  <si>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</si>
  <si>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</si>
  <si>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</si>
  <si>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</si>
  <si>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</si>
  <si>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</si>
  <si>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</si>
  <si>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</si>
  <si>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</si>
  <si>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</si>
  <si>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</si>
  <si>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</si>
  <si>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</si>
  <si>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</si>
  <si>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</si>
  <si>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</si>
  <si>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</si>
  <si>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</si>
  <si>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</si>
  <si>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</si>
  <si>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</si>
  <si>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</si>
  <si>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</si>
  <si>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</si>
  <si>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</si>
  <si>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</si>
  <si>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</si>
  <si>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</si>
  <si>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</si>
  <si>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</si>
  <si>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</si>
  <si>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</si>
  <si>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</si>
  <si>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</si>
  <si>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</si>
  <si>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</si>
  <si>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</si>
  <si>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</si>
  <si>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</si>
  <si>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</si>
  <si>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</si>
  <si>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</si>
  <si>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</si>
  <si>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</si>
  <si>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</si>
  <si>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</si>
  <si>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</si>
  <si>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</si>
  <si>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</si>
  <si>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</si>
  <si>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</si>
  <si>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</si>
  <si>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</si>
  <si>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</si>
  <si>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</si>
  <si>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</si>
  <si>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</si>
  <si>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</si>
  <si>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</si>
  <si>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</si>
  <si>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</si>
  <si>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</si>
  <si>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</si>
  <si>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</si>
  <si>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</si>
  <si>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</si>
  <si>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</si>
  <si>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</si>
  <si>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</si>
  <si>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</si>
  <si>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</si>
  <si>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</si>
  <si>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</si>
  <si>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</si>
  <si>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</si>
  <si>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</si>
  <si>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</si>
  <si>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</si>
  <si>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</si>
  <si>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</si>
  <si>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</si>
  <si>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</si>
  <si>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</si>
  <si>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</si>
  <si>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</si>
  <si>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</si>
  <si>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</si>
  <si>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</si>
  <si>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</si>
  <si>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</si>
  <si>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</si>
  <si>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</si>
  <si>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</si>
  <si>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blankpage</t>
  </si>
  <si>
    <t>Introduction</t>
  </si>
  <si>
    <t>Conclusion</t>
  </si>
  <si>
    <t>Excerpt Introduction</t>
  </si>
  <si>
    <t>Excerpt</t>
  </si>
  <si>
    <t>About the Author</t>
  </si>
  <si>
    <t>Ad</t>
  </si>
  <si>
    <t>Full_Style_Name</t>
  </si>
  <si>
    <t>vba.versatileparas</t>
  </si>
  <si>
    <t>VBA Mappings</t>
  </si>
  <si>
    <t>vba.versatileblockparas: TRUE/False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</si>
  <si>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</si>
  <si>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</si>
  <si>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</si>
  <si>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</si>
  <si>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</si>
  <si>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</si>
  <si>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</si>
  <si>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</si>
  <si>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</si>
  <si>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</si>
  <si>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SBL</t>
  </si>
  <si>
    <t>SFS</t>
  </si>
  <si>
    <t>SHT</t>
  </si>
  <si>
    <t>SAC</t>
  </si>
  <si>
    <t>SSP</t>
  </si>
  <si>
    <t>STI</t>
  </si>
  <si>
    <t>SCR</t>
  </si>
  <si>
    <t>SDE</t>
  </si>
  <si>
    <t>SEP</t>
  </si>
  <si>
    <t>STC</t>
  </si>
  <si>
    <t>SFW</t>
  </si>
  <si>
    <t>SPF</t>
  </si>
  <si>
    <t>SIF</t>
  </si>
  <si>
    <t>SIC</t>
  </si>
  <si>
    <t>SPT</t>
  </si>
  <si>
    <t>SCP</t>
  </si>
  <si>
    <t>SCL</t>
  </si>
  <si>
    <t>SAW</t>
  </si>
  <si>
    <t>SAK</t>
  </si>
  <si>
    <t>SAP</t>
  </si>
  <si>
    <t>AGL</t>
  </si>
  <si>
    <t>SEC</t>
  </si>
  <si>
    <t>SEO</t>
  </si>
  <si>
    <t>Style_Name &amp; Style_Code values must be unique. Code should be flagged in red if it's already in use.</t>
  </si>
  <si>
    <t>SBI</t>
  </si>
  <si>
    <t>SNT</t>
  </si>
  <si>
    <t>SAA</t>
  </si>
  <si>
    <t>SBA</t>
  </si>
  <si>
    <t>SIN</t>
  </si>
  <si>
    <t>Number</t>
  </si>
  <si>
    <t>Num</t>
  </si>
  <si>
    <t>Title</t>
  </si>
  <si>
    <t>Tit</t>
  </si>
  <si>
    <t>Main-Head</t>
  </si>
  <si>
    <t>Mh</t>
  </si>
  <si>
    <t>Subtitle</t>
  </si>
  <si>
    <t>St</t>
  </si>
  <si>
    <t>Author</t>
  </si>
  <si>
    <t>Au</t>
  </si>
  <si>
    <t>Headnote</t>
  </si>
  <si>
    <t>Hn</t>
  </si>
  <si>
    <t>A-Head</t>
  </si>
  <si>
    <t>H-A</t>
  </si>
  <si>
    <t>B-Head</t>
  </si>
  <si>
    <t>H-B</t>
  </si>
  <si>
    <t>C-Head</t>
  </si>
  <si>
    <t>H-C</t>
  </si>
  <si>
    <t>D-Head</t>
  </si>
  <si>
    <t>H-D</t>
  </si>
  <si>
    <t>E-Head</t>
  </si>
  <si>
    <t>H-E</t>
  </si>
  <si>
    <t>F-Head</t>
  </si>
  <si>
    <t>H-F</t>
  </si>
  <si>
    <t>G-Head</t>
  </si>
  <si>
    <t>H-G</t>
  </si>
  <si>
    <t>H-Head</t>
  </si>
  <si>
    <t>H-I</t>
  </si>
  <si>
    <t>Body-Text</t>
  </si>
  <si>
    <t>Tx</t>
  </si>
  <si>
    <t>Body-Text-Continued</t>
  </si>
  <si>
    <t>Txc</t>
  </si>
  <si>
    <t>Verse</t>
  </si>
  <si>
    <t>Vrs</t>
  </si>
  <si>
    <t>Quotation</t>
  </si>
  <si>
    <t>Qt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</si>
  <si>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</si>
  <si>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</si>
  <si>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</si>
  <si>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</si>
  <si>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</si>
  <si>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</si>
  <si>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</si>
  <si>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</si>
  <si>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</si>
  <si>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</si>
  <si>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</si>
  <si>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</si>
  <si>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Clo</t>
  </si>
  <si>
    <t>Postscript</t>
  </si>
  <si>
    <t>Pst</t>
  </si>
  <si>
    <t>Ded</t>
  </si>
  <si>
    <t>Text-Message</t>
  </si>
  <si>
    <t>Tmg</t>
  </si>
  <si>
    <t>Bullet-Level-1-List</t>
  </si>
  <si>
    <t>Bl-1</t>
  </si>
  <si>
    <t>Bullet-Level-2-List</t>
  </si>
  <si>
    <t>Bl-2</t>
  </si>
  <si>
    <t>Bullet-Level-3-List</t>
  </si>
  <si>
    <t>Bl-3</t>
  </si>
  <si>
    <t>Num-Level-1-List</t>
  </si>
  <si>
    <t>Nl-1</t>
  </si>
  <si>
    <t>Num-Level-2-List</t>
  </si>
  <si>
    <t>Nl-2</t>
  </si>
  <si>
    <t>Num-Level-3-List</t>
  </si>
  <si>
    <t>Nl-3</t>
  </si>
  <si>
    <t>Unnum-Level-1-List</t>
  </si>
  <si>
    <t>Ul-1</t>
  </si>
  <si>
    <t>Unnum-Level-2-List</t>
  </si>
  <si>
    <t>Ul-2</t>
  </si>
  <si>
    <t>Unnum-Level-3-List</t>
  </si>
  <si>
    <t>Ul-3</t>
  </si>
  <si>
    <t>Alpha--Level-1-List</t>
  </si>
  <si>
    <t>Al-1</t>
  </si>
  <si>
    <t>Alpha--Level-2-List</t>
  </si>
  <si>
    <t>Al-2</t>
  </si>
  <si>
    <t>Alpha--Level-3-List</t>
  </si>
  <si>
    <t>Al-3</t>
  </si>
  <si>
    <t>Bulleted-Paragraph</t>
  </si>
  <si>
    <t>Bp</t>
  </si>
  <si>
    <t>Numbered-Paragraph</t>
  </si>
  <si>
    <t>Np</t>
  </si>
  <si>
    <t>Reference-Entry</t>
  </si>
  <si>
    <t>Re</t>
  </si>
  <si>
    <t>Source-Note</t>
  </si>
  <si>
    <t>Sn</t>
  </si>
  <si>
    <t>Volume</t>
  </si>
  <si>
    <t>Vol</t>
  </si>
  <si>
    <t>Logo-Placement</t>
  </si>
  <si>
    <t>Lp</t>
  </si>
  <si>
    <t>Imprint</t>
  </si>
  <si>
    <t>Im</t>
  </si>
  <si>
    <t>Illustration-Placement</t>
  </si>
  <si>
    <t>Ip</t>
  </si>
  <si>
    <t>Credit-Line</t>
  </si>
  <si>
    <t>Crd</t>
  </si>
  <si>
    <t>Cap</t>
  </si>
  <si>
    <t>Speaker-A</t>
  </si>
  <si>
    <t>Sp-A</t>
  </si>
  <si>
    <t>Dialogue</t>
  </si>
  <si>
    <t>Dia</t>
  </si>
  <si>
    <t>Stage-Directions</t>
  </si>
  <si>
    <t>Sd</t>
  </si>
  <si>
    <t>TOC-Frontmatter</t>
  </si>
  <si>
    <t>Cfm</t>
  </si>
  <si>
    <t>TOC-Part</t>
  </si>
  <si>
    <t>Cpt</t>
  </si>
  <si>
    <t>TOC-Chapter</t>
  </si>
  <si>
    <t>Ccp</t>
  </si>
  <si>
    <t>TOC-Subhead</t>
  </si>
  <si>
    <t>Csb</t>
  </si>
  <si>
    <t>TOC-Backmatter</t>
  </si>
  <si>
    <t>Cbm</t>
  </si>
  <si>
    <t>Blank-Line-Space</t>
  </si>
  <si>
    <t>Bls</t>
  </si>
  <si>
    <t>Ornamented-Line-Space</t>
  </si>
  <si>
    <t>Ols</t>
  </si>
  <si>
    <t>Page-Break</t>
  </si>
  <si>
    <t>Pb</t>
  </si>
  <si>
    <t>Design-Note</t>
  </si>
  <si>
    <t>Dn</t>
  </si>
  <si>
    <t>Bookmaker-Processing-Instruction</t>
  </si>
  <si>
    <t>Bpi</t>
  </si>
  <si>
    <t>EXTRACT-A</t>
  </si>
  <si>
    <t>EXT-A</t>
  </si>
  <si>
    <t>EPIGRAPH</t>
  </si>
  <si>
    <t>EPI</t>
  </si>
  <si>
    <t>BOX</t>
  </si>
  <si>
    <t>BX</t>
  </si>
  <si>
    <t>LETTER</t>
  </si>
  <si>
    <t>LTR</t>
  </si>
  <si>
    <t>EMAIL</t>
  </si>
  <si>
    <t>EML</t>
  </si>
  <si>
    <t>SIDEBAR</t>
  </si>
  <si>
    <t>SBR</t>
  </si>
  <si>
    <t>PULL-QUOTE</t>
  </si>
  <si>
    <t>PQ</t>
  </si>
  <si>
    <t>GENERAL-FLOATING-CONTAINER</t>
  </si>
  <si>
    <t>GFC</t>
  </si>
  <si>
    <t>bold</t>
  </si>
  <si>
    <t>b</t>
  </si>
  <si>
    <t>i</t>
  </si>
  <si>
    <t>underline</t>
  </si>
  <si>
    <t>u</t>
  </si>
  <si>
    <t>smallcaps</t>
  </si>
  <si>
    <t>c</t>
  </si>
  <si>
    <t>super</t>
  </si>
  <si>
    <t>p</t>
  </si>
  <si>
    <t>strike</t>
  </si>
  <si>
    <t>t</t>
  </si>
  <si>
    <t>inline-a</t>
  </si>
  <si>
    <t>in-a</t>
  </si>
  <si>
    <t>cs-head</t>
  </si>
  <si>
    <t>csh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</si>
  <si>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</si>
  <si>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</si>
  <si>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</si>
  <si>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</si>
  <si>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</si>
  <si>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</si>
  <si>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</si>
  <si>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cip</t>
  </si>
  <si>
    <t>hyperlink</t>
  </si>
  <si>
    <t>special-characters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</si>
  <si>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</si>
  <si>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</si>
  <si>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</si>
  <si>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</si>
  <si>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</si>
  <si>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</si>
  <si>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</si>
  <si>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</si>
  <si>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</si>
  <si>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Title (Tit)</t>
  </si>
  <si>
    <t>Main-Head (Mh)</t>
  </si>
  <si>
    <t>Section-Blank-Page (SBL)</t>
  </si>
  <si>
    <t>Dedication (Ded)</t>
  </si>
  <si>
    <t>Body-Text (Tx)</t>
  </si>
  <si>
    <t>Verse (Vrs)</t>
  </si>
  <si>
    <t>Quotation (Qt)</t>
  </si>
  <si>
    <t>.Text-Standardtx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</si>
</sst>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97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30" borderId="0" xfId="0" applyNumberFormat="1" applyFont="1" applyFill="1" applyProtection="1">
      <protection locked="0"/>
    </xf>
    <xf numFmtId="49" fontId="10" fillId="14" borderId="0" xfId="0" applyNumberFormat="1" applyFont="1" applyFill="1" applyProtection="1">
      <protection locked="0"/>
    </xf>
    <xf numFmtId="49" fontId="5" fillId="15" borderId="0" xfId="0" applyNumberFormat="1" applyFont="1" applyFill="1" applyProtection="1">
      <protection locked="0"/>
    </xf>
    <xf numFmtId="49" fontId="12" fillId="16" borderId="0" xfId="0" applyNumberFormat="1" applyFont="1" applyFill="1" applyProtection="1">
      <protection locked="0"/>
    </xf>
    <xf numFmtId="49" fontId="8" fillId="41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11" fillId="17" borderId="0" xfId="0" applyNumberFormat="1" applyFont="1" applyFill="1" applyProtection="1">
      <protection locked="0"/>
    </xf>
    <xf numFmtId="49" fontId="8" fillId="36" borderId="0" xfId="0" applyNumberFormat="1" applyFont="1" applyFill="1" applyProtection="1">
      <protection locked="0"/>
    </xf>
    <xf numFmtId="49" fontId="7" fillId="18" borderId="0" xfId="0" applyNumberFormat="1" applyFont="1" applyFill="1" applyProtection="1">
      <protection locked="0"/>
    </xf>
    <xf numFmtId="49" fontId="5" fillId="35" borderId="0" xfId="0" applyNumberFormat="1" applyFont="1" applyFill="1" applyProtection="1">
      <protection locked="0"/>
    </xf>
    <xf numFmtId="49" fontId="12" fillId="26" borderId="0" xfId="0" applyNumberFormat="1" applyFont="1" applyFill="1" applyProtection="1">
      <protection locked="0"/>
    </xf>
    <xf numFmtId="49" fontId="1" fillId="19" borderId="0" xfId="0" applyNumberFormat="1" applyFont="1" applyFill="1" applyProtection="1">
      <protection locked="0"/>
    </xf>
    <xf numFmtId="49" fontId="1" fillId="27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7" fillId="33" borderId="0" xfId="0" applyNumberFormat="1" applyFont="1" applyFill="1" applyProtection="1">
      <protection locked="0"/>
    </xf>
    <xf numFmtId="49" fontId="5" fillId="21" borderId="0" xfId="0" applyNumberFormat="1" applyFont="1" applyFill="1" applyProtection="1">
      <protection locked="0"/>
    </xf>
    <xf numFmtId="49" fontId="8" fillId="34" borderId="0" xfId="0" applyNumberFormat="1" applyFont="1" applyFill="1" applyProtection="1">
      <protection locked="0"/>
    </xf>
    <xf numFmtId="49" fontId="1" fillId="28" borderId="0" xfId="0" applyNumberFormat="1" applyFont="1" applyFill="1" applyProtection="1">
      <protection locked="0"/>
    </xf>
    <xf numFmtId="49" fontId="10" fillId="32" borderId="0" xfId="0" applyNumberFormat="1" applyFont="1" applyFill="1" applyProtection="1">
      <protection locked="0"/>
    </xf>
    <xf numFmtId="49" fontId="5" fillId="31" borderId="0" xfId="0" applyNumberFormat="1" applyFont="1" applyFill="1" applyProtection="1">
      <protection locked="0"/>
    </xf>
    <xf numFmtId="49" fontId="12" fillId="22" borderId="0" xfId="0" applyNumberFormat="1" applyFont="1" applyFill="1" applyProtection="1">
      <protection locked="0"/>
    </xf>
    <xf numFmtId="49" fontId="8" fillId="43" borderId="0" xfId="0" applyNumberFormat="1" applyFont="1" applyFill="1" applyProtection="1">
      <protection locked="0"/>
    </xf>
    <xf numFmtId="49" fontId="1" fillId="23" borderId="0" xfId="0" applyNumberFormat="1" applyFont="1" applyFill="1" applyProtection="1">
      <protection locked="0"/>
    </xf>
    <xf numFmtId="49" fontId="6" fillId="42" borderId="0" xfId="0" applyNumberFormat="1" applyFont="1" applyFill="1" applyProtection="1">
      <protection locked="0"/>
    </xf>
    <xf numFmtId="49" fontId="8" fillId="37" borderId="0" xfId="0" applyNumberFormat="1" applyFont="1" applyFill="1" applyProtection="1">
      <protection locked="0"/>
    </xf>
    <xf numFmtId="49" fontId="8" fillId="38" borderId="0" xfId="0" applyNumberFormat="1" applyFont="1" applyFill="1" applyProtection="1">
      <protection locked="0"/>
    </xf>
    <xf numFmtId="49" fontId="8" fillId="39" borderId="0" xfId="0" applyNumberFormat="1" applyFont="1" applyFill="1" applyProtection="1">
      <protection locked="0"/>
    </xf>
    <xf numFmtId="49" fontId="8" fillId="40" borderId="0" xfId="0" applyNumberFormat="1" applyFont="1" applyFill="1" applyProtection="1">
      <protection locked="0"/>
    </xf>
    <xf numFmtId="49" fontId="12" fillId="24" borderId="0" xfId="0" applyNumberFormat="1" applyFont="1" applyFill="1" applyProtection="1">
      <protection locked="0"/>
    </xf>
    <xf numFmtId="49" fontId="1" fillId="29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44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7" borderId="1" xfId="0" applyFill="1" applyBorder="1" applyAlignment="1" applyProtection="1">
      <alignment vertical="center" wrapText="1"/>
    </xf>
    <xf numFmtId="0" fontId="17" fillId="4" borderId="7" xfId="0" applyFont="1" applyFill="1" applyBorder="1" applyProtection="1"/>
    <xf numFmtId="49" fontId="17" fillId="4" borderId="7" xfId="0" applyNumberFormat="1" applyFont="1" applyFill="1" applyBorder="1" applyProtection="1"/>
    <xf numFmtId="0" fontId="17" fillId="4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8" fillId="4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8" fillId="0" borderId="0" xfId="0" applyNumberFormat="1" applyFont="1" applyFill="1" applyProtection="1">
      <protection locked="0"/>
    </xf>
    <xf numFmtId="49" fontId="0" fillId="0" borderId="0" xfId="0" applyNumberFormat="1" applyProtection="1"/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  <protection locked="0"/>
    </xf>
    <xf numFmtId="0" fontId="13" fillId="0" borderId="5" xfId="0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25" borderId="6" xfId="0" applyFont="1" applyFill="1" applyBorder="1" applyAlignment="1" applyProtection="1">
      <alignment horizontal="center" vertical="center"/>
    </xf>
    <xf numFmtId="0" fontId="0" fillId="25" borderId="2" xfId="0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103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2" displayName="Table2" ref="A3:CT122" totalsRowShown="0" headerRowDxfId="101" dataDxfId="99" headerRowBorderDxfId="100" tableBorderDxfId="98">
  <autoFilter ref="A3:CT122"/>
  <sortState ref="A4:CR481">
    <sortCondition ref="F3:F481"/>
  </sortState>
  <tableColumns count="98">
    <tableColumn id="1" name="Full_Style_Name" dataDxfId="97">
      <calculatedColumnFormula>IF($D4="","",TRIM($C4)&amp;" "&amp;CHAR(40)&amp;TRIM($D4)&amp;CHAR(41))</calculatedColumnFormula>
    </tableColumn>
    <tableColumn id="2" name="Usage_Notes" dataDxfId="96"/>
    <tableColumn id="3" name="Style_Name" dataDxfId="95"/>
    <tableColumn id="4" name="Style_Code" dataDxfId="94"/>
    <tableColumn id="5" name="NextParagraphStyle" dataDxfId="93"/>
    <tableColumn id="6" name="Priority" dataDxfId="92"/>
    <tableColumn id="7" name="QuickStyle" dataDxfId="91"/>
    <tableColumn id="8" name="Type" dataDxfId="90"/>
    <tableColumn id="9" name="Font.name" dataDxfId="89"/>
    <tableColumn id="10" name="Font.Size" dataDxfId="88"/>
    <tableColumn id="11" name="Font.Italic" dataDxfId="87"/>
    <tableColumn id="12" name="Font.Bold" dataDxfId="86"/>
    <tableColumn id="13" name="Font.TextColor" dataDxfId="85"/>
    <tableColumn id="14" name="Font.Underline" dataDxfId="84"/>
    <tableColumn id="15" name="Font.SmallCaps" dataDxfId="83"/>
    <tableColumn id="16" name="Font.Superscript" dataDxfId="82"/>
    <tableColumn id="17" name="Font.Subscript" dataDxfId="81"/>
    <tableColumn id="18" name="Font.StrikeThrough" dataDxfId="80"/>
    <tableColumn id="19" name="shortcut_keys_enabled_tf" dataDxfId="79"/>
    <tableColumn id="20" name="shortcut_keys__shift_tf" dataDxfId="78"/>
    <tableColumn id="21" name="shortcut_keys__control_tf" dataDxfId="77"/>
    <tableColumn id="22" name="shortcut_keys__alt_tf" dataDxfId="76"/>
    <tableColumn id="23" name="shortcut_keys__letter" dataDxfId="75"/>
    <tableColumn id="24" name="NoSpaceBetweenParagraphsOfSameStyle" dataDxfId="74"/>
    <tableColumn id="25" name="Bullet" dataDxfId="73"/>
    <tableColumn id="26" name="Checklist" dataDxfId="72"/>
    <tableColumn id="27" name="ParagraphFormat.LeftIndent" dataDxfId="71"/>
    <tableColumn id="28" name="ParagraphFormat.RightIndent" dataDxfId="70"/>
    <tableColumn id="29" name="ParagraphFormat.SpaceBefore" dataDxfId="69"/>
    <tableColumn id="30" name="ParagraphFormat.SpaceAfter" dataDxfId="68"/>
    <tableColumn id="31" name="ParagraphFormat.LineSpacingRule" dataDxfId="67"/>
    <tableColumn id="32" name="ParagraphFormat.LineSpacing" dataDxfId="66"/>
    <tableColumn id="33" name="ParagraphFormat.Alignment" dataDxfId="65"/>
    <tableColumn id="34" name="ParagraphFormat.FirstLineIndent" dataDxfId="64"/>
    <tableColumn id="35" name="ParagraphFormat.OutlineLevel" dataDxfId="63"/>
    <tableColumn id="36" name="ParagraphFormat.PageBreakBefore" dataDxfId="62"/>
    <tableColumn id="37" name="ParagraphFormat.WidowControl" dataDxfId="61"/>
    <tableColumn id="38" name="Borders(-1)" dataDxfId="60"/>
    <tableColumn id="39" name="Borders(-1).Color" dataDxfId="59"/>
    <tableColumn id="40" name="Borders(-1).LineStyle" dataDxfId="58"/>
    <tableColumn id="41" name="Borders(-1).LineWidth" dataDxfId="57"/>
    <tableColumn id="42" name="Borders(-2)" dataDxfId="56"/>
    <tableColumn id="43" name="Borders(-2).Color" dataDxfId="55"/>
    <tableColumn id="44" name="Borders(-2).LineStyle" dataDxfId="54"/>
    <tableColumn id="45" name="Borders(-2).LineWidth" dataDxfId="53"/>
    <tableColumn id="46" name="Borders(-3)" dataDxfId="52"/>
    <tableColumn id="47" name="Borders(-3).Color" dataDxfId="51"/>
    <tableColumn id="48" name="Borders(-3).LineStyle" dataDxfId="50"/>
    <tableColumn id="49" name="Borders(-3).LineWidth" dataDxfId="49"/>
    <tableColumn id="50" name="Borders(-4)" dataDxfId="48"/>
    <tableColumn id="51" name="Borders(-4).Color" dataDxfId="47"/>
    <tableColumn id="52" name="Borders(-4).LineStyle" dataDxfId="46"/>
    <tableColumn id="53" name="Borders(-4).LineWidth" dataDxfId="45"/>
    <tableColumn id="54" name="Borders.DistanceFromLeft" dataDxfId="44"/>
    <tableColumn id="55" name="Borders.DistanceFromRight" dataDxfId="43"/>
    <tableColumn id="56" name="Borders.DistanceFromTop" dataDxfId="42"/>
    <tableColumn id="57" name="Borders.DistanceFromBottom" dataDxfId="41"/>
    <tableColumn id="58" name="ParagraphFormat.Shading.BackgroundPatternColor" dataDxfId="40"/>
    <tableColumn id="59" name="Font.Borders(1).Color" dataDxfId="39"/>
    <tableColumn id="60" name="Font.Borders(1).LineStyle" dataDxfId="38"/>
    <tableColumn id="61" name="Font.Borders(1).LineWidth" dataDxfId="37"/>
    <tableColumn id="62" name="Font.Shading.BackgroundPatternColor" dataDxfId="36"/>
    <tableColumn id="63" name="BaseStyle" dataDxfId="35"/>
    <tableColumn id="64" name="ListLevelNumber" dataDxfId="34"/>
    <tableColumn id="65" name="NoProofing" dataDxfId="33"/>
    <tableColumn id="66" name="no_export.tag" dataDxfId="32"/>
    <tableColumn id="67" name="no_export.requiredparent" dataDxfId="31"/>
    <tableColumn id="68" name="no_export.toplevelparent" dataDxfId="30"/>
    <tableColumn id="69" name="no_export.parentdatatype" dataDxfId="29"/>
    <tableColumn id="70" name="no_export.parent" dataDxfId="28"/>
    <tableColumn id="71" name="html.partheads" dataDxfId="27"/>
    <tableColumn id="72" name="html.headingparas" dataDxfId="26"/>
    <tableColumn id="73" name="html.extractparas" dataDxfId="25"/>
    <tableColumn id="74" name="html.epigraphparas" dataDxfId="24"/>
    <tableColumn id="75" name="html.poetryparas" dataDxfId="23"/>
    <tableColumn id="76" name="html.boxparas" dataDxfId="22"/>
    <tableColumn id="77" name="html.sidebarparas" dataDxfId="21"/>
    <tableColumn id="78" name="html.illustrationparas" dataDxfId="20"/>
    <tableColumn id="79" name="html.imageholders" dataDxfId="19"/>
    <tableColumn id="80" name="html.captionparas" dataDxfId="18"/>
    <tableColumn id="81" name="html.illustrationsrcparas" dataDxfId="17"/>
    <tableColumn id="82" name="html.unorderedlistparas" dataDxfId="16"/>
    <tableColumn id="83" name="html.orderedlistparas" dataDxfId="15"/>
    <tableColumn id="84" name="html.unorderedsublistparas" dataDxfId="14"/>
    <tableColumn id="85" name="html.orderedsublistparas" dataDxfId="13"/>
    <tableColumn id="97" name="html.chaptertitleparas" dataDxfId="12"/>
    <tableColumn id="98" name="html.chapternumberparas" dataDxfId="11"/>
    <tableColumn id="86" name="html.omitparas" dataDxfId="10"/>
    <tableColumn id="87" name="html.versatileblockparas" dataDxfId="9"/>
    <tableColumn id="88" name="html.toplevelheads.type" dataDxfId="8"/>
    <tableColumn id="93" name="html.toplevelheads.label" dataDxfId="7"/>
    <tableColumn id="89" name="html.toplevelheads.class" dataDxfId="6"/>
    <tableColumn id="90" name="no_export.class" dataDxfId="5">
      <calculatedColumnFormula>"."&amp;SUBSTITUTE(SUBSTITUTE(SUBSTITUTE(SUBSTITUTE(A4, "(",""),")","")," ",""),"#","")</calculatedColumnFormula>
    </tableColumn>
    <tableColumn id="91" name="no_export.notes" dataDxfId="4"/>
    <tableColumn id="94" name="vba.versatileparas" dataDxfId="3"/>
    <tableColumn id="96" name="vba.bookmakerstyles" dataDxfId="2"/>
    <tableColumn id="92" name="vba.allowedblankparas" dataDxfId="1"/>
    <tableColumn id="95" name="vba.sectionstart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T160"/>
  <sheetViews>
    <sheetView tabSelected="1" zoomScale="86" zoomScaleNormal="86" workbookViewId="0">
      <pane xSplit="1" ySplit="3" topLeftCell="B76" activePane="bottomRight" state="frozen"/>
      <selection pane="topRight" activeCell="B1" sqref="B1"/>
      <selection pane="bottomLeft" activeCell="A4" sqref="A4"/>
      <selection pane="bottomRight" activeCell="F103" sqref="F103:F122"/>
    </sheetView>
  </sheetViews>
  <sheetFormatPr defaultColWidth="10.75" defaultRowHeight="15.75" x14ac:dyDescent="0.25"/>
  <cols>
    <col min="1" max="1" width="33.5" style="57" customWidth="1"/>
    <col min="2" max="2" width="28.75" style="8" customWidth="1"/>
    <col min="3" max="3" width="32.5" style="8" customWidth="1"/>
    <col min="4" max="4" width="13.75" style="8" customWidth="1"/>
    <col min="5" max="5" width="32.5" style="8" customWidth="1"/>
    <col min="6" max="6" width="17.625" style="8" customWidth="1"/>
    <col min="7" max="7" width="17.25" style="8" bestFit="1" customWidth="1"/>
    <col min="8" max="8" width="10.25" style="8" customWidth="1"/>
    <col min="9" max="9" width="16.25" style="8" bestFit="1" customWidth="1"/>
    <col min="10" max="10" width="11.75" style="8" customWidth="1"/>
    <col min="11" max="11" width="12.75" style="8" customWidth="1"/>
    <col min="12" max="12" width="12.5" style="8" customWidth="1"/>
    <col min="13" max="13" width="17.75" style="42" bestFit="1" customWidth="1"/>
    <col min="14" max="14" width="17.25" style="8" customWidth="1"/>
    <col min="15" max="15" width="17.5" style="8" customWidth="1"/>
    <col min="16" max="16" width="18.5" style="8" customWidth="1"/>
    <col min="17" max="17" width="16.75" style="8" customWidth="1"/>
    <col min="18" max="18" width="21" style="8" customWidth="1"/>
    <col min="19" max="19" width="27.25" style="8" customWidth="1"/>
    <col min="20" max="20" width="25" style="8" customWidth="1"/>
    <col min="21" max="21" width="27.5" style="8" customWidth="1"/>
    <col min="22" max="22" width="23.25" style="8" customWidth="1"/>
    <col min="23" max="23" width="23.5" style="52" customWidth="1"/>
    <col min="24" max="24" width="41.25" style="8" customWidth="1"/>
    <col min="25" max="25" width="9" style="8" customWidth="1"/>
    <col min="26" max="26" width="11.75" style="8" customWidth="1"/>
    <col min="27" max="27" width="29.25" style="8" customWidth="1"/>
    <col min="28" max="28" width="30.75" style="8" customWidth="1"/>
    <col min="29" max="29" width="31.25" style="8" customWidth="1"/>
    <col min="30" max="30" width="29.75" style="8" customWidth="1"/>
    <col min="31" max="31" width="34.75" style="8" customWidth="1"/>
    <col min="32" max="32" width="30.75" style="8" customWidth="1"/>
    <col min="33" max="33" width="29.25" style="8" customWidth="1"/>
    <col min="34" max="34" width="33.5" style="8" customWidth="1"/>
    <col min="35" max="35" width="31.25" style="8" customWidth="1"/>
    <col min="36" max="36" width="35.5" style="8" customWidth="1"/>
    <col min="37" max="37" width="33.25" style="8" customWidth="1"/>
    <col min="38" max="38" width="15.5" style="8" customWidth="1"/>
    <col min="39" max="39" width="19.25" style="42" customWidth="1"/>
    <col min="40" max="40" width="22.5" style="8" customWidth="1"/>
    <col min="41" max="41" width="23.75" style="8" customWidth="1"/>
    <col min="42" max="42" width="13.75" style="8" customWidth="1"/>
    <col min="43" max="43" width="20" style="42" customWidth="1"/>
    <col min="44" max="44" width="22.5" style="8" customWidth="1"/>
    <col min="45" max="45" width="23.75" style="8" customWidth="1"/>
    <col min="46" max="46" width="13.75" style="8" customWidth="1"/>
    <col min="47" max="47" width="19.25" style="42" customWidth="1"/>
    <col min="48" max="48" width="22.5" style="8" customWidth="1"/>
    <col min="49" max="49" width="23.75" style="8" customWidth="1"/>
    <col min="50" max="50" width="13.75" style="8" customWidth="1"/>
    <col min="51" max="51" width="19.25" style="42" customWidth="1"/>
    <col min="52" max="52" width="22.5" style="8" customWidth="1"/>
    <col min="53" max="53" width="23.75" style="8" customWidth="1"/>
    <col min="54" max="54" width="27.25" style="8" customWidth="1"/>
    <col min="55" max="55" width="28.5" style="8" customWidth="1"/>
    <col min="56" max="56" width="27.25" style="8" customWidth="1"/>
    <col min="57" max="57" width="30.5" style="8" customWidth="1"/>
    <col min="58" max="58" width="49.75" style="42" customWidth="1"/>
    <col min="59" max="59" width="27.25" style="42" bestFit="1" customWidth="1"/>
    <col min="60" max="60" width="26.5" style="8" customWidth="1"/>
    <col min="61" max="61" width="27.75" style="8" customWidth="1"/>
    <col min="62" max="62" width="38.25" style="42" customWidth="1"/>
    <col min="63" max="63" width="20.125" style="8" customWidth="1"/>
    <col min="64" max="64" width="18.75" style="8" customWidth="1"/>
    <col min="65" max="65" width="14" style="8" customWidth="1"/>
    <col min="66" max="66" width="16.5" style="8" customWidth="1"/>
    <col min="67" max="67" width="27.25" style="8" customWidth="1"/>
    <col min="68" max="68" width="27" style="8" customWidth="1"/>
    <col min="69" max="69" width="27.75" style="8" customWidth="1"/>
    <col min="70" max="70" width="19.75" style="8" customWidth="1"/>
    <col min="71" max="71" width="17.75" style="8" customWidth="1"/>
    <col min="72" max="72" width="20.75" style="8" customWidth="1"/>
    <col min="73" max="73" width="19.75" style="8" customWidth="1"/>
    <col min="74" max="74" width="21.5" style="8" customWidth="1"/>
    <col min="75" max="75" width="19.25" style="8" customWidth="1"/>
    <col min="76" max="76" width="16.75" style="8" customWidth="1"/>
    <col min="77" max="77" width="20.25" style="8" customWidth="1"/>
    <col min="78" max="78" width="23.25" style="8" customWidth="1"/>
    <col min="79" max="79" width="20.75" style="8" customWidth="1"/>
    <col min="80" max="80" width="20.25" style="8" customWidth="1"/>
    <col min="81" max="82" width="25.75" style="8" customWidth="1"/>
    <col min="83" max="83" width="23.25" style="8" customWidth="1"/>
    <col min="84" max="84" width="28.75" style="8" customWidth="1"/>
    <col min="85" max="85" width="26.5" style="8" customWidth="1"/>
    <col min="86" max="86" width="22.875" style="8" customWidth="1"/>
    <col min="87" max="87" width="26.25" style="8" customWidth="1"/>
    <col min="88" max="88" width="17.75" style="8" customWidth="1"/>
    <col min="89" max="89" width="26" style="8" customWidth="1"/>
    <col min="90" max="90" width="25.25" style="8" customWidth="1"/>
    <col min="91" max="91" width="25.75" style="8" customWidth="1"/>
    <col min="92" max="92" width="26.25" style="8" customWidth="1"/>
    <col min="93" max="93" width="34.25" style="8" customWidth="1"/>
    <col min="94" max="94" width="21.25" style="8" customWidth="1"/>
    <col min="95" max="97" width="22.75" style="8" customWidth="1"/>
    <col min="98" max="98" width="17" style="8" customWidth="1"/>
    <col min="99" max="16384" width="10.75" style="8"/>
  </cols>
  <sheetData>
    <row r="1" spans="1:98" s="3" customFormat="1" ht="27" customHeight="1" x14ac:dyDescent="0.25">
      <c r="A1" s="43" t="s">
        <v>97</v>
      </c>
      <c r="B1" s="78" t="s">
        <v>90</v>
      </c>
      <c r="C1" s="88"/>
      <c r="D1" s="89"/>
      <c r="E1" s="90" t="s">
        <v>91</v>
      </c>
      <c r="F1" s="90"/>
      <c r="G1" s="90"/>
      <c r="H1" s="90"/>
      <c r="I1" s="91" t="s">
        <v>92</v>
      </c>
      <c r="J1" s="92"/>
      <c r="K1" s="92"/>
      <c r="L1" s="92"/>
      <c r="M1" s="92"/>
      <c r="N1" s="92"/>
      <c r="O1" s="92"/>
      <c r="P1" s="92"/>
      <c r="Q1" s="92"/>
      <c r="R1" s="93"/>
      <c r="S1" s="94" t="s">
        <v>93</v>
      </c>
      <c r="T1" s="94"/>
      <c r="U1" s="94"/>
      <c r="V1" s="94"/>
      <c r="W1" s="94"/>
      <c r="X1" s="72" t="s">
        <v>94</v>
      </c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4"/>
      <c r="AL1" s="44" t="s">
        <v>95</v>
      </c>
      <c r="AM1" s="45"/>
      <c r="AN1" s="44"/>
      <c r="AO1" s="44"/>
      <c r="AP1" s="44"/>
      <c r="AQ1" s="45"/>
      <c r="AR1" s="44"/>
      <c r="AS1" s="44"/>
      <c r="AT1" s="44"/>
      <c r="AU1" s="45"/>
      <c r="AV1" s="44"/>
      <c r="AW1" s="44"/>
      <c r="AX1" s="44"/>
      <c r="AY1" s="45"/>
      <c r="AZ1" s="44"/>
      <c r="BA1" s="44"/>
      <c r="BB1" s="44"/>
      <c r="BC1" s="44"/>
      <c r="BD1" s="44"/>
      <c r="BE1" s="44"/>
      <c r="BF1" s="46"/>
      <c r="BG1" s="81" t="s">
        <v>96</v>
      </c>
      <c r="BH1" s="82"/>
      <c r="BI1" s="82"/>
      <c r="BJ1" s="83"/>
      <c r="BK1" s="84" t="s">
        <v>102</v>
      </c>
      <c r="BL1" s="85"/>
      <c r="BM1" s="85"/>
      <c r="BN1" s="78" t="s">
        <v>344</v>
      </c>
      <c r="BO1" s="79"/>
      <c r="BP1" s="79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79"/>
      <c r="CJ1" s="79"/>
      <c r="CK1" s="79"/>
      <c r="CL1" s="79"/>
      <c r="CM1" s="79"/>
      <c r="CN1" s="79"/>
      <c r="CO1" s="79"/>
      <c r="CP1" s="80"/>
      <c r="CQ1" s="75" t="s">
        <v>375</v>
      </c>
      <c r="CR1" s="76"/>
      <c r="CS1" s="76"/>
      <c r="CT1" s="77"/>
    </row>
    <row r="2" spans="1:98" s="4" customFormat="1" ht="94.5" x14ac:dyDescent="0.25">
      <c r="A2" s="54" t="s">
        <v>238</v>
      </c>
      <c r="B2" s="53" t="s">
        <v>240</v>
      </c>
      <c r="C2" s="86" t="s">
        <v>410</v>
      </c>
      <c r="D2" s="87"/>
      <c r="E2" s="48" t="s">
        <v>126</v>
      </c>
      <c r="F2" s="54" t="s">
        <v>242</v>
      </c>
      <c r="G2" s="54" t="s">
        <v>241</v>
      </c>
      <c r="H2" s="48" t="s">
        <v>588</v>
      </c>
      <c r="I2" s="54"/>
      <c r="J2" s="48" t="s">
        <v>103</v>
      </c>
      <c r="K2" s="48" t="s">
        <v>57</v>
      </c>
      <c r="L2" s="48" t="s">
        <v>57</v>
      </c>
      <c r="M2" s="49" t="s">
        <v>127</v>
      </c>
      <c r="N2" s="48" t="s">
        <v>57</v>
      </c>
      <c r="O2" s="48" t="s">
        <v>57</v>
      </c>
      <c r="P2" s="48" t="s">
        <v>57</v>
      </c>
      <c r="Q2" s="48" t="s">
        <v>57</v>
      </c>
      <c r="R2" s="48" t="s">
        <v>57</v>
      </c>
      <c r="S2" s="95" t="s">
        <v>231</v>
      </c>
      <c r="T2" s="95"/>
      <c r="U2" s="95"/>
      <c r="V2" s="95"/>
      <c r="W2" s="96"/>
      <c r="X2" s="48" t="s">
        <v>57</v>
      </c>
      <c r="Y2" s="48" t="s">
        <v>57</v>
      </c>
      <c r="Z2" s="48" t="s">
        <v>57</v>
      </c>
      <c r="AA2" s="48" t="s">
        <v>58</v>
      </c>
      <c r="AB2" s="48" t="s">
        <v>58</v>
      </c>
      <c r="AC2" s="48" t="s">
        <v>58</v>
      </c>
      <c r="AD2" s="48" t="s">
        <v>58</v>
      </c>
      <c r="AE2" s="47" t="s">
        <v>107</v>
      </c>
      <c r="AF2" s="48" t="s">
        <v>58</v>
      </c>
      <c r="AG2" s="47" t="s">
        <v>105</v>
      </c>
      <c r="AH2" s="48" t="s">
        <v>58</v>
      </c>
      <c r="AI2" s="48" t="s">
        <v>106</v>
      </c>
      <c r="AJ2" s="48" t="s">
        <v>57</v>
      </c>
      <c r="AK2" s="48" t="s">
        <v>57</v>
      </c>
      <c r="AL2" s="48" t="s">
        <v>62</v>
      </c>
      <c r="AM2" s="49" t="s">
        <v>127</v>
      </c>
      <c r="AN2" s="47" t="s">
        <v>104</v>
      </c>
      <c r="AO2" s="47" t="s">
        <v>61</v>
      </c>
      <c r="AP2" s="48" t="s">
        <v>57</v>
      </c>
      <c r="AQ2" s="49" t="s">
        <v>127</v>
      </c>
      <c r="AR2" s="48" t="s">
        <v>63</v>
      </c>
      <c r="AS2" s="47" t="s">
        <v>61</v>
      </c>
      <c r="AT2" s="50" t="s">
        <v>64</v>
      </c>
      <c r="AU2" s="49" t="s">
        <v>127</v>
      </c>
      <c r="AV2" s="47" t="s">
        <v>104</v>
      </c>
      <c r="AW2" s="47" t="s">
        <v>61</v>
      </c>
      <c r="AX2" s="50" t="s">
        <v>65</v>
      </c>
      <c r="AY2" s="49" t="s">
        <v>127</v>
      </c>
      <c r="AZ2" s="47" t="s">
        <v>104</v>
      </c>
      <c r="BA2" s="47" t="s">
        <v>61</v>
      </c>
      <c r="BB2" s="48" t="s">
        <v>98</v>
      </c>
      <c r="BC2" s="48" t="s">
        <v>99</v>
      </c>
      <c r="BD2" s="48" t="s">
        <v>100</v>
      </c>
      <c r="BE2" s="48" t="s">
        <v>101</v>
      </c>
      <c r="BF2" s="49" t="s">
        <v>128</v>
      </c>
      <c r="BG2" s="49" t="s">
        <v>127</v>
      </c>
      <c r="BH2" s="47" t="s">
        <v>104</v>
      </c>
      <c r="BI2" s="47" t="s">
        <v>61</v>
      </c>
      <c r="BJ2" s="49" t="s">
        <v>127</v>
      </c>
      <c r="BK2" s="48" t="s">
        <v>56</v>
      </c>
      <c r="BL2" s="48" t="s">
        <v>60</v>
      </c>
      <c r="BM2" s="48" t="s">
        <v>59</v>
      </c>
      <c r="BN2" s="60" t="s">
        <v>279</v>
      </c>
      <c r="BO2" s="60" t="s">
        <v>280</v>
      </c>
      <c r="BP2" s="60" t="s">
        <v>281</v>
      </c>
      <c r="BQ2" s="60" t="s">
        <v>282</v>
      </c>
      <c r="BR2" s="60" t="s">
        <v>283</v>
      </c>
      <c r="BS2" s="60" t="s">
        <v>328</v>
      </c>
      <c r="BT2" s="60" t="s">
        <v>329</v>
      </c>
      <c r="BU2" s="60" t="s">
        <v>330</v>
      </c>
      <c r="BV2" s="60" t="s">
        <v>331</v>
      </c>
      <c r="BW2" s="60" t="s">
        <v>332</v>
      </c>
      <c r="BX2" s="60" t="s">
        <v>333</v>
      </c>
      <c r="BY2" s="60" t="s">
        <v>334</v>
      </c>
      <c r="BZ2" s="60" t="s">
        <v>335</v>
      </c>
      <c r="CA2" s="60" t="s">
        <v>336</v>
      </c>
      <c r="CB2" s="60" t="s">
        <v>337</v>
      </c>
      <c r="CC2" s="60" t="s">
        <v>338</v>
      </c>
      <c r="CD2" s="60" t="s">
        <v>339</v>
      </c>
      <c r="CE2" s="60" t="s">
        <v>340</v>
      </c>
      <c r="CF2" s="60" t="s">
        <v>341</v>
      </c>
      <c r="CG2" s="60" t="s">
        <v>342</v>
      </c>
      <c r="CH2" s="60" t="s">
        <v>386</v>
      </c>
      <c r="CI2" s="60" t="s">
        <v>385</v>
      </c>
      <c r="CJ2" s="60" t="s">
        <v>343</v>
      </c>
      <c r="CK2" s="60" t="s">
        <v>345</v>
      </c>
      <c r="CL2" s="60" t="s">
        <v>287</v>
      </c>
      <c r="CM2" s="60" t="s">
        <v>357</v>
      </c>
      <c r="CN2" s="60" t="s">
        <v>304</v>
      </c>
      <c r="CO2" s="60" t="s">
        <v>284</v>
      </c>
      <c r="CP2" s="60" t="s">
        <v>285</v>
      </c>
      <c r="CQ2" s="66" t="s">
        <v>376</v>
      </c>
      <c r="CR2" s="68"/>
      <c r="CS2" s="68"/>
      <c r="CT2" s="67" t="s">
        <v>378</v>
      </c>
    </row>
    <row r="3" spans="1:98" s="51" customFormat="1" ht="17.25" x14ac:dyDescent="0.3">
      <c r="A3" s="61" t="s">
        <v>373</v>
      </c>
      <c r="B3" s="61" t="s">
        <v>239</v>
      </c>
      <c r="C3" s="61" t="s">
        <v>233</v>
      </c>
      <c r="D3" s="61" t="s">
        <v>232</v>
      </c>
      <c r="E3" s="61" t="s">
        <v>7</v>
      </c>
      <c r="F3" s="61" t="s">
        <v>5</v>
      </c>
      <c r="G3" s="61" t="s">
        <v>8</v>
      </c>
      <c r="H3" s="61" t="s">
        <v>9</v>
      </c>
      <c r="I3" s="61" t="s">
        <v>10</v>
      </c>
      <c r="J3" s="61" t="s">
        <v>11</v>
      </c>
      <c r="K3" s="61" t="s">
        <v>12</v>
      </c>
      <c r="L3" s="61" t="s">
        <v>13</v>
      </c>
      <c r="M3" s="62" t="s">
        <v>14</v>
      </c>
      <c r="N3" s="61" t="s">
        <v>15</v>
      </c>
      <c r="O3" s="61" t="s">
        <v>16</v>
      </c>
      <c r="P3" s="61" t="s">
        <v>17</v>
      </c>
      <c r="Q3" s="61" t="s">
        <v>18</v>
      </c>
      <c r="R3" s="61" t="s">
        <v>19</v>
      </c>
      <c r="S3" s="61" t="s">
        <v>132</v>
      </c>
      <c r="T3" s="61" t="s">
        <v>129</v>
      </c>
      <c r="U3" s="61" t="s">
        <v>130</v>
      </c>
      <c r="V3" s="61" t="s">
        <v>131</v>
      </c>
      <c r="W3" s="63" t="s">
        <v>20</v>
      </c>
      <c r="X3" s="61" t="s">
        <v>21</v>
      </c>
      <c r="Y3" s="61" t="s">
        <v>22</v>
      </c>
      <c r="Z3" s="61" t="s">
        <v>23</v>
      </c>
      <c r="AA3" s="61" t="s">
        <v>24</v>
      </c>
      <c r="AB3" s="61" t="s">
        <v>25</v>
      </c>
      <c r="AC3" s="61" t="s">
        <v>26</v>
      </c>
      <c r="AD3" s="61" t="s">
        <v>27</v>
      </c>
      <c r="AE3" s="61" t="s">
        <v>28</v>
      </c>
      <c r="AF3" s="61" t="s">
        <v>29</v>
      </c>
      <c r="AG3" s="61" t="s">
        <v>30</v>
      </c>
      <c r="AH3" s="61" t="s">
        <v>31</v>
      </c>
      <c r="AI3" s="61" t="s">
        <v>32</v>
      </c>
      <c r="AJ3" s="61" t="s">
        <v>33</v>
      </c>
      <c r="AK3" s="61" t="s">
        <v>34</v>
      </c>
      <c r="AL3" s="61" t="s">
        <v>35</v>
      </c>
      <c r="AM3" s="62" t="s">
        <v>36</v>
      </c>
      <c r="AN3" s="61" t="s">
        <v>37</v>
      </c>
      <c r="AO3" s="61" t="s">
        <v>38</v>
      </c>
      <c r="AP3" s="61" t="s">
        <v>39</v>
      </c>
      <c r="AQ3" s="62" t="s">
        <v>40</v>
      </c>
      <c r="AR3" s="61" t="s">
        <v>41</v>
      </c>
      <c r="AS3" s="61" t="s">
        <v>42</v>
      </c>
      <c r="AT3" s="61" t="s">
        <v>43</v>
      </c>
      <c r="AU3" s="62" t="s">
        <v>44</v>
      </c>
      <c r="AV3" s="61" t="s">
        <v>45</v>
      </c>
      <c r="AW3" s="61" t="s">
        <v>46</v>
      </c>
      <c r="AX3" s="61" t="s">
        <v>47</v>
      </c>
      <c r="AY3" s="62" t="s">
        <v>48</v>
      </c>
      <c r="AZ3" s="61" t="s">
        <v>49</v>
      </c>
      <c r="BA3" s="61" t="s">
        <v>50</v>
      </c>
      <c r="BB3" s="61" t="s">
        <v>51</v>
      </c>
      <c r="BC3" s="61" t="s">
        <v>52</v>
      </c>
      <c r="BD3" s="61" t="s">
        <v>53</v>
      </c>
      <c r="BE3" s="61" t="s">
        <v>54</v>
      </c>
      <c r="BF3" s="62" t="s">
        <v>55</v>
      </c>
      <c r="BG3" s="62" t="s">
        <v>86</v>
      </c>
      <c r="BH3" s="61" t="s">
        <v>87</v>
      </c>
      <c r="BI3" s="61" t="s">
        <v>88</v>
      </c>
      <c r="BJ3" s="62" t="s">
        <v>89</v>
      </c>
      <c r="BK3" s="62" t="s">
        <v>3</v>
      </c>
      <c r="BL3" s="61" t="s">
        <v>4</v>
      </c>
      <c r="BM3" s="61" t="s">
        <v>6</v>
      </c>
      <c r="BN3" s="61" t="s">
        <v>349</v>
      </c>
      <c r="BO3" s="61" t="s">
        <v>350</v>
      </c>
      <c r="BP3" s="61" t="s">
        <v>351</v>
      </c>
      <c r="BQ3" s="61" t="s">
        <v>352</v>
      </c>
      <c r="BR3" s="61" t="s">
        <v>353</v>
      </c>
      <c r="BS3" s="61" t="s">
        <v>312</v>
      </c>
      <c r="BT3" s="61" t="s">
        <v>313</v>
      </c>
      <c r="BU3" s="61" t="s">
        <v>314</v>
      </c>
      <c r="BV3" s="61" t="s">
        <v>315</v>
      </c>
      <c r="BW3" s="61" t="s">
        <v>316</v>
      </c>
      <c r="BX3" s="61" t="s">
        <v>317</v>
      </c>
      <c r="BY3" s="61" t="s">
        <v>318</v>
      </c>
      <c r="BZ3" s="61" t="s">
        <v>319</v>
      </c>
      <c r="CA3" s="61" t="s">
        <v>320</v>
      </c>
      <c r="CB3" s="61" t="s">
        <v>321</v>
      </c>
      <c r="CC3" s="61" t="s">
        <v>322</v>
      </c>
      <c r="CD3" s="61" t="s">
        <v>323</v>
      </c>
      <c r="CE3" s="61" t="s">
        <v>324</v>
      </c>
      <c r="CF3" s="61" t="s">
        <v>325</v>
      </c>
      <c r="CG3" s="61" t="s">
        <v>326</v>
      </c>
      <c r="CH3" s="61" t="s">
        <v>383</v>
      </c>
      <c r="CI3" s="61" t="s">
        <v>384</v>
      </c>
      <c r="CJ3" s="61" t="s">
        <v>327</v>
      </c>
      <c r="CK3" s="61" t="s">
        <v>346</v>
      </c>
      <c r="CL3" s="61" t="s">
        <v>354</v>
      </c>
      <c r="CM3" s="61" t="s">
        <v>356</v>
      </c>
      <c r="CN3" s="61" t="s">
        <v>355</v>
      </c>
      <c r="CO3" s="61" t="s">
        <v>347</v>
      </c>
      <c r="CP3" s="61" t="s">
        <v>348</v>
      </c>
      <c r="CQ3" s="65" t="s">
        <v>374</v>
      </c>
      <c r="CR3" s="65" t="s">
        <v>380</v>
      </c>
      <c r="CS3" s="65" t="s">
        <v>379</v>
      </c>
      <c r="CT3" s="65" t="s">
        <v>377</v>
      </c>
    </row>
    <row r="4" spans="1:98" x14ac:dyDescent="0.25">
      <c r="A4" s="71" t="str">
        <f t="shared" ref="A4:A67" si="0">IF($D4="","",TRIM($C4)&amp;" "&amp;CHAR(40)&amp;TRIM($D4)&amp;CHAR(41))</f>
        <v>Section-Front-Sales (SFS)</v>
      </c>
      <c r="B4" s="5"/>
      <c r="C4" s="5" t="s">
        <v>276</v>
      </c>
      <c r="D4" s="6" t="s">
        <v>388</v>
      </c>
      <c r="E4" s="5" t="s">
        <v>589</v>
      </c>
      <c r="F4" s="5">
        <v>1</v>
      </c>
      <c r="G4" s="5" t="b">
        <v>0</v>
      </c>
      <c r="H4" s="5">
        <v>1</v>
      </c>
      <c r="I4" s="5" t="s">
        <v>2</v>
      </c>
      <c r="J4" s="5">
        <v>11</v>
      </c>
      <c r="K4" s="5" t="b">
        <v>0</v>
      </c>
      <c r="L4" s="5" t="b">
        <v>0</v>
      </c>
      <c r="M4" s="6" t="s">
        <v>66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5" t="b">
        <v>1</v>
      </c>
      <c r="AK4" s="5" t="b">
        <v>0</v>
      </c>
      <c r="AL4" s="5" t="b">
        <v>0</v>
      </c>
      <c r="AM4" s="6" t="s">
        <v>66</v>
      </c>
      <c r="AN4" s="5">
        <v>0</v>
      </c>
      <c r="AO4" s="5">
        <v>6</v>
      </c>
      <c r="AP4" s="5" t="b">
        <v>1</v>
      </c>
      <c r="AQ4" s="58" t="s">
        <v>278</v>
      </c>
      <c r="AR4" s="5">
        <v>1</v>
      </c>
      <c r="AS4" s="5">
        <v>48</v>
      </c>
      <c r="AT4" s="5" t="b">
        <v>0</v>
      </c>
      <c r="AU4" s="6" t="s">
        <v>66</v>
      </c>
      <c r="AV4" s="5">
        <v>0</v>
      </c>
      <c r="AW4" s="5">
        <v>6</v>
      </c>
      <c r="AX4" s="5" t="b">
        <v>0</v>
      </c>
      <c r="AY4" s="6" t="s">
        <v>66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30" t="s">
        <v>114</v>
      </c>
      <c r="BG4" s="6"/>
      <c r="BH4" s="5"/>
      <c r="BI4" s="5"/>
      <c r="BJ4" s="6"/>
      <c r="BK4" s="5" t="s">
        <v>0</v>
      </c>
      <c r="BL4" s="5">
        <v>0</v>
      </c>
      <c r="BM4" s="5" t="b">
        <v>0</v>
      </c>
      <c r="CL4" s="8" t="s">
        <v>288</v>
      </c>
      <c r="CM4" s="8" t="s">
        <v>358</v>
      </c>
      <c r="CN4" s="8" t="s">
        <v>305</v>
      </c>
      <c r="CO4" s="57" t="str">
        <f t="shared" ref="CO4:CO32" si="1">"."&amp;SUBSTITUTE(SUBSTITUTE(SUBSTITUTE(SUBSTITUTE(A4, "(",""),")","")," ",""),"#","")</f>
        <v>.Section-Front-SalesSFS</v>
      </c>
      <c r="CR4" s="8" t="b">
        <v>1</v>
      </c>
      <c r="CS4" s="8" t="b">
        <v>1</v>
      </c>
      <c r="CT4" s="8" t="b">
        <v>1</v>
      </c>
    </row>
    <row r="5" spans="1:98" x14ac:dyDescent="0.25">
      <c r="A5" s="71" t="str">
        <f t="shared" si="0"/>
        <v>Section-Halftitle (SHT)</v>
      </c>
      <c r="B5" s="5"/>
      <c r="C5" s="5" t="s">
        <v>244</v>
      </c>
      <c r="D5" s="6" t="s">
        <v>389</v>
      </c>
      <c r="E5" s="5" t="s">
        <v>589</v>
      </c>
      <c r="F5" s="5">
        <v>2</v>
      </c>
      <c r="G5" s="5" t="b">
        <v>0</v>
      </c>
      <c r="H5" s="5">
        <v>1</v>
      </c>
      <c r="I5" s="5" t="s">
        <v>2</v>
      </c>
      <c r="J5" s="5">
        <v>11</v>
      </c>
      <c r="K5" s="5" t="b">
        <v>0</v>
      </c>
      <c r="L5" s="5" t="b">
        <v>0</v>
      </c>
      <c r="M5" s="6" t="s">
        <v>66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66</v>
      </c>
      <c r="AN5" s="5">
        <v>0</v>
      </c>
      <c r="AO5" s="5">
        <v>6</v>
      </c>
      <c r="AP5" s="5" t="b">
        <v>1</v>
      </c>
      <c r="AQ5" s="58" t="s">
        <v>278</v>
      </c>
      <c r="AR5" s="5">
        <v>1</v>
      </c>
      <c r="AS5" s="5">
        <v>48</v>
      </c>
      <c r="AT5" s="5" t="b">
        <v>0</v>
      </c>
      <c r="AU5" s="6" t="s">
        <v>66</v>
      </c>
      <c r="AV5" s="5">
        <v>0</v>
      </c>
      <c r="AW5" s="5">
        <v>6</v>
      </c>
      <c r="AX5" s="5" t="b">
        <v>0</v>
      </c>
      <c r="AY5" s="6" t="s">
        <v>66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31" t="s">
        <v>113</v>
      </c>
      <c r="BG5" s="6"/>
      <c r="BH5" s="5"/>
      <c r="BI5" s="5"/>
      <c r="BJ5" s="6"/>
      <c r="BK5" s="5" t="s">
        <v>0</v>
      </c>
      <c r="BL5" s="5">
        <v>0</v>
      </c>
      <c r="BM5" s="5" t="b">
        <v>0</v>
      </c>
      <c r="CL5" s="8" t="s">
        <v>289</v>
      </c>
      <c r="CM5" s="8" t="s">
        <v>359</v>
      </c>
      <c r="CO5" s="57" t="str">
        <f t="shared" si="1"/>
        <v>.Section-HalftitleSHT</v>
      </c>
      <c r="CR5" s="8" t="b">
        <v>1</v>
      </c>
      <c r="CS5" s="8" t="b">
        <v>1</v>
      </c>
      <c r="CT5" s="8" t="b">
        <v>1</v>
      </c>
    </row>
    <row r="6" spans="1:98" x14ac:dyDescent="0.25">
      <c r="A6" s="71" t="str">
        <f t="shared" si="0"/>
        <v>Section-Ad-Card (SAC)</v>
      </c>
      <c r="B6" s="5"/>
      <c r="C6" s="5" t="s">
        <v>243</v>
      </c>
      <c r="D6" s="6" t="s">
        <v>390</v>
      </c>
      <c r="E6" s="5" t="s">
        <v>590</v>
      </c>
      <c r="F6" s="5">
        <v>3</v>
      </c>
      <c r="G6" s="5" t="b">
        <v>0</v>
      </c>
      <c r="H6" s="5">
        <v>1</v>
      </c>
      <c r="I6" s="5" t="s">
        <v>2</v>
      </c>
      <c r="J6" s="5">
        <v>11</v>
      </c>
      <c r="K6" s="5" t="b">
        <v>0</v>
      </c>
      <c r="L6" s="5" t="b">
        <v>0</v>
      </c>
      <c r="M6" s="35" t="s">
        <v>124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66</v>
      </c>
      <c r="AN6" s="5">
        <v>0</v>
      </c>
      <c r="AO6" s="5">
        <v>6</v>
      </c>
      <c r="AP6" s="5" t="b">
        <v>1</v>
      </c>
      <c r="AQ6" s="58" t="s">
        <v>278</v>
      </c>
      <c r="AR6" s="5">
        <v>1</v>
      </c>
      <c r="AS6" s="5">
        <v>48</v>
      </c>
      <c r="AT6" s="5" t="b">
        <v>0</v>
      </c>
      <c r="AU6" s="6" t="s">
        <v>66</v>
      </c>
      <c r="AV6" s="5">
        <v>0</v>
      </c>
      <c r="AW6" s="5">
        <v>6</v>
      </c>
      <c r="AX6" s="5" t="b">
        <v>0</v>
      </c>
      <c r="AY6" s="6" t="s">
        <v>66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10" t="s">
        <v>112</v>
      </c>
      <c r="BG6" s="6"/>
      <c r="BH6" s="5"/>
      <c r="BI6" s="5"/>
      <c r="BJ6" s="6"/>
      <c r="BK6" s="5" t="s">
        <v>0</v>
      </c>
      <c r="BL6" s="5">
        <v>0</v>
      </c>
      <c r="BM6" s="5" t="b">
        <v>0</v>
      </c>
      <c r="CL6" s="8" t="s">
        <v>288</v>
      </c>
      <c r="CM6" s="8" t="s">
        <v>361</v>
      </c>
      <c r="CN6" s="8" t="s">
        <v>307</v>
      </c>
      <c r="CO6" s="57" t="str">
        <f t="shared" si="1"/>
        <v>.Section-Ad-CardSAC</v>
      </c>
      <c r="CR6" s="8" t="b">
        <v>1</v>
      </c>
      <c r="CS6" s="8" t="b">
        <v>1</v>
      </c>
      <c r="CT6" s="8" t="b">
        <v>1</v>
      </c>
    </row>
    <row r="7" spans="1:98" x14ac:dyDescent="0.25">
      <c r="A7" s="71" t="str">
        <f t="shared" si="0"/>
        <v>Section-Series-Page (SSP)</v>
      </c>
      <c r="B7" s="5"/>
      <c r="C7" s="5" t="s">
        <v>277</v>
      </c>
      <c r="D7" s="6" t="s">
        <v>391</v>
      </c>
      <c r="E7" s="5" t="s">
        <v>590</v>
      </c>
      <c r="F7" s="5">
        <v>4</v>
      </c>
      <c r="G7" s="5" t="b">
        <v>0</v>
      </c>
      <c r="H7" s="5">
        <v>1</v>
      </c>
      <c r="I7" s="5" t="s">
        <v>2</v>
      </c>
      <c r="J7" s="5">
        <v>11</v>
      </c>
      <c r="K7" s="5" t="b">
        <v>0</v>
      </c>
      <c r="L7" s="5" t="b">
        <v>0</v>
      </c>
      <c r="M7" s="6" t="s">
        <v>66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66</v>
      </c>
      <c r="AN7" s="5">
        <v>0</v>
      </c>
      <c r="AO7" s="5">
        <v>6</v>
      </c>
      <c r="AP7" s="5" t="b">
        <v>1</v>
      </c>
      <c r="AQ7" s="58" t="s">
        <v>278</v>
      </c>
      <c r="AR7" s="5">
        <v>1</v>
      </c>
      <c r="AS7" s="5">
        <v>48</v>
      </c>
      <c r="AT7" s="5" t="b">
        <v>0</v>
      </c>
      <c r="AU7" s="6" t="s">
        <v>66</v>
      </c>
      <c r="AV7" s="5">
        <v>0</v>
      </c>
      <c r="AW7" s="5">
        <v>6</v>
      </c>
      <c r="AX7" s="5" t="b">
        <v>0</v>
      </c>
      <c r="AY7" s="6" t="s">
        <v>66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33" t="s">
        <v>125</v>
      </c>
      <c r="BG7" s="6"/>
      <c r="BH7" s="5"/>
      <c r="BI7" s="5"/>
      <c r="BJ7" s="6"/>
      <c r="BK7" s="5" t="s">
        <v>0</v>
      </c>
      <c r="BL7" s="5">
        <v>0</v>
      </c>
      <c r="BM7" s="5" t="b">
        <v>0</v>
      </c>
      <c r="CL7" s="8" t="s">
        <v>288</v>
      </c>
      <c r="CM7" s="8" t="s">
        <v>360</v>
      </c>
      <c r="CN7" s="8" t="s">
        <v>306</v>
      </c>
      <c r="CO7" s="57" t="str">
        <f t="shared" si="1"/>
        <v>.Section-Series-PageSSP</v>
      </c>
      <c r="CR7" s="8" t="b">
        <v>1</v>
      </c>
      <c r="CS7" s="8" t="b">
        <v>1</v>
      </c>
      <c r="CT7" s="8" t="b">
        <v>1</v>
      </c>
    </row>
    <row r="8" spans="1:98" x14ac:dyDescent="0.25">
      <c r="A8" s="71" t="str">
        <f t="shared" si="0"/>
        <v>Section-Titlepage (STI)</v>
      </c>
      <c r="B8" s="5"/>
      <c r="C8" s="5" t="s">
        <v>245</v>
      </c>
      <c r="D8" s="6" t="s">
        <v>392</v>
      </c>
      <c r="E8" s="5" t="s">
        <v>589</v>
      </c>
      <c r="F8" s="5">
        <v>5</v>
      </c>
      <c r="G8" s="5" t="b">
        <v>0</v>
      </c>
      <c r="H8" s="5">
        <v>1</v>
      </c>
      <c r="I8" s="5" t="s">
        <v>2</v>
      </c>
      <c r="J8" s="5">
        <v>11</v>
      </c>
      <c r="K8" s="5" t="b">
        <v>0</v>
      </c>
      <c r="L8" s="5" t="b">
        <v>0</v>
      </c>
      <c r="M8" s="6" t="s">
        <v>66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66</v>
      </c>
      <c r="AN8" s="5">
        <v>0</v>
      </c>
      <c r="AO8" s="5">
        <v>6</v>
      </c>
      <c r="AP8" s="5" t="b">
        <v>1</v>
      </c>
      <c r="AQ8" s="58" t="s">
        <v>278</v>
      </c>
      <c r="AR8" s="5">
        <v>1</v>
      </c>
      <c r="AS8" s="5">
        <v>48</v>
      </c>
      <c r="AT8" s="5" t="b">
        <v>0</v>
      </c>
      <c r="AU8" s="6" t="s">
        <v>66</v>
      </c>
      <c r="AV8" s="5">
        <v>0</v>
      </c>
      <c r="AW8" s="5">
        <v>6</v>
      </c>
      <c r="AX8" s="5" t="b">
        <v>0</v>
      </c>
      <c r="AY8" s="6" t="s">
        <v>66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31" t="s">
        <v>113</v>
      </c>
      <c r="BG8" s="6"/>
      <c r="BH8" s="5"/>
      <c r="BI8" s="5"/>
      <c r="BJ8" s="6"/>
      <c r="BK8" s="5" t="s">
        <v>0</v>
      </c>
      <c r="BL8" s="5">
        <v>0</v>
      </c>
      <c r="BM8" s="5" t="b">
        <v>0</v>
      </c>
      <c r="CL8" s="8" t="s">
        <v>290</v>
      </c>
      <c r="CM8" s="8" t="s">
        <v>362</v>
      </c>
      <c r="CO8" s="57" t="str">
        <f t="shared" si="1"/>
        <v>.Section-TitlepageSTI</v>
      </c>
      <c r="CR8" s="8" t="b">
        <v>1</v>
      </c>
      <c r="CS8" s="8" t="b">
        <v>1</v>
      </c>
      <c r="CT8" s="8" t="b">
        <v>1</v>
      </c>
    </row>
    <row r="9" spans="1:98" x14ac:dyDescent="0.25">
      <c r="A9" s="71" t="str">
        <f t="shared" si="0"/>
        <v>Section-Copyright (SCR)</v>
      </c>
      <c r="B9" s="5"/>
      <c r="C9" s="5" t="s">
        <v>253</v>
      </c>
      <c r="D9" s="6" t="s">
        <v>393</v>
      </c>
      <c r="E9" s="5" t="s">
        <v>593</v>
      </c>
      <c r="F9" s="5">
        <v>6</v>
      </c>
      <c r="G9" s="5" t="b">
        <v>0</v>
      </c>
      <c r="H9" s="5">
        <v>1</v>
      </c>
      <c r="I9" s="5" t="s">
        <v>2</v>
      </c>
      <c r="J9" s="5">
        <v>11</v>
      </c>
      <c r="K9" s="5" t="b">
        <v>0</v>
      </c>
      <c r="L9" s="5" t="b">
        <v>0</v>
      </c>
      <c r="M9" s="6" t="s">
        <v>66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66</v>
      </c>
      <c r="AN9" s="5">
        <v>0</v>
      </c>
      <c r="AO9" s="5">
        <v>6</v>
      </c>
      <c r="AP9" s="5" t="b">
        <v>1</v>
      </c>
      <c r="AQ9" s="58" t="s">
        <v>278</v>
      </c>
      <c r="AR9" s="5">
        <v>1</v>
      </c>
      <c r="AS9" s="5">
        <v>48</v>
      </c>
      <c r="AT9" s="5" t="b">
        <v>0</v>
      </c>
      <c r="AU9" s="6" t="s">
        <v>66</v>
      </c>
      <c r="AV9" s="5">
        <v>0</v>
      </c>
      <c r="AW9" s="5">
        <v>6</v>
      </c>
      <c r="AX9" s="5" t="b">
        <v>0</v>
      </c>
      <c r="AY9" s="6" t="s">
        <v>66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21" t="s">
        <v>117</v>
      </c>
      <c r="BG9" s="6"/>
      <c r="BH9" s="5"/>
      <c r="BI9" s="5"/>
      <c r="BJ9" s="6"/>
      <c r="BK9" s="5" t="s">
        <v>0</v>
      </c>
      <c r="BL9" s="5">
        <v>0</v>
      </c>
      <c r="BM9" s="5" t="b">
        <v>0</v>
      </c>
      <c r="CL9" s="8" t="s">
        <v>291</v>
      </c>
      <c r="CM9" s="8" t="s">
        <v>363</v>
      </c>
      <c r="CO9" s="57" t="str">
        <f t="shared" si="1"/>
        <v>.Section-CopyrightSCR</v>
      </c>
      <c r="CR9" s="8" t="b">
        <v>1</v>
      </c>
      <c r="CS9" s="8" t="b">
        <v>1</v>
      </c>
      <c r="CT9" s="8" t="b">
        <v>1</v>
      </c>
    </row>
    <row r="10" spans="1:98" x14ac:dyDescent="0.25">
      <c r="A10" s="71" t="str">
        <f t="shared" si="0"/>
        <v>Section-Dedication (SDE)</v>
      </c>
      <c r="B10" s="5"/>
      <c r="C10" s="5" t="s">
        <v>254</v>
      </c>
      <c r="D10" s="6" t="s">
        <v>394</v>
      </c>
      <c r="E10" s="5" t="s">
        <v>592</v>
      </c>
      <c r="F10" s="5">
        <v>7</v>
      </c>
      <c r="G10" s="5" t="b">
        <v>0</v>
      </c>
      <c r="H10" s="5">
        <v>1</v>
      </c>
      <c r="I10" s="5" t="s">
        <v>2</v>
      </c>
      <c r="J10" s="5">
        <v>11</v>
      </c>
      <c r="K10" s="5" t="b">
        <v>0</v>
      </c>
      <c r="L10" s="5" t="b">
        <v>0</v>
      </c>
      <c r="M10" s="35" t="s">
        <v>124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66</v>
      </c>
      <c r="AN10" s="5">
        <v>0</v>
      </c>
      <c r="AO10" s="5">
        <v>6</v>
      </c>
      <c r="AP10" s="5" t="b">
        <v>1</v>
      </c>
      <c r="AQ10" s="58" t="s">
        <v>278</v>
      </c>
      <c r="AR10" s="5">
        <v>1</v>
      </c>
      <c r="AS10" s="5">
        <v>48</v>
      </c>
      <c r="AT10" s="5" t="b">
        <v>0</v>
      </c>
      <c r="AU10" s="6" t="s">
        <v>66</v>
      </c>
      <c r="AV10" s="5">
        <v>0</v>
      </c>
      <c r="AW10" s="5">
        <v>6</v>
      </c>
      <c r="AX10" s="5" t="b">
        <v>0</v>
      </c>
      <c r="AY10" s="6" t="s">
        <v>66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22" t="s">
        <v>108</v>
      </c>
      <c r="BG10" s="6"/>
      <c r="BH10" s="5"/>
      <c r="BI10" s="5"/>
      <c r="BJ10" s="6"/>
      <c r="BK10" s="5" t="s">
        <v>0</v>
      </c>
      <c r="BL10" s="5">
        <v>0</v>
      </c>
      <c r="BM10" s="5" t="b">
        <v>0</v>
      </c>
      <c r="CL10" s="8" t="s">
        <v>292</v>
      </c>
      <c r="CM10" s="8" t="s">
        <v>236</v>
      </c>
      <c r="CO10" s="57" t="str">
        <f t="shared" si="1"/>
        <v>.Section-DedicationSDE</v>
      </c>
      <c r="CR10" s="8" t="b">
        <v>1</v>
      </c>
      <c r="CS10" s="8" t="b">
        <v>1</v>
      </c>
      <c r="CT10" s="8" t="b">
        <v>1</v>
      </c>
    </row>
    <row r="11" spans="1:98" x14ac:dyDescent="0.25">
      <c r="A11" s="71" t="str">
        <f t="shared" si="0"/>
        <v>Section-Epigraph (SEP)</v>
      </c>
      <c r="B11" s="5"/>
      <c r="C11" s="5" t="s">
        <v>255</v>
      </c>
      <c r="D11" s="6" t="s">
        <v>395</v>
      </c>
      <c r="E11" s="5" t="s">
        <v>593</v>
      </c>
      <c r="F11" s="5">
        <v>8</v>
      </c>
      <c r="G11" s="5" t="b">
        <v>0</v>
      </c>
      <c r="H11" s="5">
        <v>1</v>
      </c>
      <c r="I11" s="5" t="s">
        <v>2</v>
      </c>
      <c r="J11" s="5">
        <v>11</v>
      </c>
      <c r="K11" s="5" t="b">
        <v>0</v>
      </c>
      <c r="L11" s="5" t="b">
        <v>0</v>
      </c>
      <c r="M11" s="6" t="s">
        <v>66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66</v>
      </c>
      <c r="AN11" s="5">
        <v>0</v>
      </c>
      <c r="AO11" s="5">
        <v>6</v>
      </c>
      <c r="AP11" s="5" t="b">
        <v>1</v>
      </c>
      <c r="AQ11" s="58" t="s">
        <v>278</v>
      </c>
      <c r="AR11" s="5">
        <v>1</v>
      </c>
      <c r="AS11" s="5">
        <v>48</v>
      </c>
      <c r="AT11" s="5" t="b">
        <v>0</v>
      </c>
      <c r="AU11" s="6" t="s">
        <v>66</v>
      </c>
      <c r="AV11" s="5">
        <v>0</v>
      </c>
      <c r="AW11" s="5">
        <v>6</v>
      </c>
      <c r="AX11" s="5" t="b">
        <v>0</v>
      </c>
      <c r="AY11" s="6" t="s">
        <v>66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26" t="s">
        <v>115</v>
      </c>
      <c r="BG11" s="6"/>
      <c r="BH11" s="5"/>
      <c r="BI11" s="5"/>
      <c r="BJ11" s="6"/>
      <c r="BK11" s="5" t="s">
        <v>0</v>
      </c>
      <c r="BL11" s="5">
        <v>0</v>
      </c>
      <c r="BM11" s="5" t="b">
        <v>0</v>
      </c>
      <c r="CL11" s="8" t="s">
        <v>288</v>
      </c>
      <c r="CM11" s="8" t="s">
        <v>364</v>
      </c>
      <c r="CN11" s="8" t="s">
        <v>286</v>
      </c>
      <c r="CO11" s="57" t="str">
        <f t="shared" si="1"/>
        <v>.Section-EpigraphSEP</v>
      </c>
      <c r="CR11" s="8" t="b">
        <v>1</v>
      </c>
      <c r="CS11" s="8" t="b">
        <v>1</v>
      </c>
      <c r="CT11" s="8" t="b">
        <v>1</v>
      </c>
    </row>
    <row r="12" spans="1:98" x14ac:dyDescent="0.25">
      <c r="A12" s="71" t="str">
        <f t="shared" si="0"/>
        <v>Section-Contents (STC)</v>
      </c>
      <c r="B12" s="5"/>
      <c r="C12" s="5" t="s">
        <v>256</v>
      </c>
      <c r="D12" s="6" t="s">
        <v>396</v>
      </c>
      <c r="E12" s="5" t="s">
        <v>590</v>
      </c>
      <c r="F12" s="5">
        <v>9</v>
      </c>
      <c r="G12" s="5" t="b">
        <v>0</v>
      </c>
      <c r="H12" s="5">
        <v>1</v>
      </c>
      <c r="I12" s="5" t="s">
        <v>2</v>
      </c>
      <c r="J12" s="5">
        <v>11</v>
      </c>
      <c r="K12" s="5" t="b">
        <v>0</v>
      </c>
      <c r="L12" s="5" t="b">
        <v>0</v>
      </c>
      <c r="M12" s="6" t="s">
        <v>66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66</v>
      </c>
      <c r="AN12" s="5">
        <v>0</v>
      </c>
      <c r="AO12" s="5">
        <v>6</v>
      </c>
      <c r="AP12" s="5" t="b">
        <v>1</v>
      </c>
      <c r="AQ12" s="58" t="s">
        <v>278</v>
      </c>
      <c r="AR12" s="5">
        <v>1</v>
      </c>
      <c r="AS12" s="5">
        <v>48</v>
      </c>
      <c r="AT12" s="5" t="b">
        <v>0</v>
      </c>
      <c r="AU12" s="6" t="s">
        <v>66</v>
      </c>
      <c r="AV12" s="5">
        <v>0</v>
      </c>
      <c r="AW12" s="5">
        <v>6</v>
      </c>
      <c r="AX12" s="5" t="b">
        <v>0</v>
      </c>
      <c r="AY12" s="6" t="s">
        <v>66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41" t="s">
        <v>111</v>
      </c>
      <c r="BG12" s="6"/>
      <c r="BH12" s="5"/>
      <c r="BI12" s="5"/>
      <c r="BJ12" s="6"/>
      <c r="BK12" s="5" t="s">
        <v>0</v>
      </c>
      <c r="BL12" s="5">
        <v>0</v>
      </c>
      <c r="BM12" s="5" t="b">
        <v>0</v>
      </c>
      <c r="CL12" s="8" t="s">
        <v>288</v>
      </c>
      <c r="CM12" s="8" t="s">
        <v>365</v>
      </c>
      <c r="CN12" s="8" t="s">
        <v>382</v>
      </c>
      <c r="CO12" s="57" t="str">
        <f t="shared" si="1"/>
        <v>.Section-ContentsSTC</v>
      </c>
      <c r="CR12" s="8" t="b">
        <v>1</v>
      </c>
      <c r="CS12" s="8" t="b">
        <v>1</v>
      </c>
      <c r="CT12" s="8" t="b">
        <v>1</v>
      </c>
    </row>
    <row r="13" spans="1:98" x14ac:dyDescent="0.25">
      <c r="A13" s="71" t="str">
        <f t="shared" si="0"/>
        <v>Section-Foreword (SFW)</v>
      </c>
      <c r="B13" s="5"/>
      <c r="C13" s="5" t="s">
        <v>258</v>
      </c>
      <c r="D13" s="6" t="s">
        <v>397</v>
      </c>
      <c r="E13" s="5" t="s">
        <v>590</v>
      </c>
      <c r="F13" s="5">
        <v>10</v>
      </c>
      <c r="G13" s="5" t="b">
        <v>0</v>
      </c>
      <c r="H13" s="5">
        <v>1</v>
      </c>
      <c r="I13" s="5" t="s">
        <v>2</v>
      </c>
      <c r="J13" s="5">
        <v>11</v>
      </c>
      <c r="K13" s="5" t="b">
        <v>0</v>
      </c>
      <c r="L13" s="5" t="b">
        <v>0</v>
      </c>
      <c r="M13" s="6" t="s">
        <v>66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66</v>
      </c>
      <c r="AN13" s="5">
        <v>0</v>
      </c>
      <c r="AO13" s="5">
        <v>6</v>
      </c>
      <c r="AP13" s="5" t="b">
        <v>1</v>
      </c>
      <c r="AQ13" s="58" t="s">
        <v>278</v>
      </c>
      <c r="AR13" s="5">
        <v>1</v>
      </c>
      <c r="AS13" s="5">
        <v>48</v>
      </c>
      <c r="AT13" s="5" t="b">
        <v>0</v>
      </c>
      <c r="AU13" s="6" t="s">
        <v>66</v>
      </c>
      <c r="AV13" s="5">
        <v>0</v>
      </c>
      <c r="AW13" s="5">
        <v>6</v>
      </c>
      <c r="AX13" s="5" t="b">
        <v>0</v>
      </c>
      <c r="AY13" s="6" t="s">
        <v>66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29" t="s">
        <v>110</v>
      </c>
      <c r="BG13" s="6"/>
      <c r="BH13" s="5"/>
      <c r="BI13" s="5"/>
      <c r="BJ13" s="6"/>
      <c r="BK13" s="5" t="s">
        <v>0</v>
      </c>
      <c r="BL13" s="5">
        <v>0</v>
      </c>
      <c r="BM13" s="5" t="b">
        <v>0</v>
      </c>
      <c r="CL13" s="8" t="s">
        <v>293</v>
      </c>
      <c r="CO13" s="57" t="str">
        <f t="shared" si="1"/>
        <v>.Section-ForewordSFW</v>
      </c>
      <c r="CR13" s="8" t="b">
        <v>1</v>
      </c>
      <c r="CS13" s="8" t="b">
        <v>1</v>
      </c>
      <c r="CT13" s="8" t="b">
        <v>1</v>
      </c>
    </row>
    <row r="14" spans="1:98" x14ac:dyDescent="0.25">
      <c r="A14" s="71" t="str">
        <f t="shared" si="0"/>
        <v>Section-Preface (SPF)</v>
      </c>
      <c r="B14" s="5"/>
      <c r="C14" s="5" t="s">
        <v>257</v>
      </c>
      <c r="D14" s="6" t="s">
        <v>398</v>
      </c>
      <c r="E14" s="5" t="s">
        <v>590</v>
      </c>
      <c r="F14" s="5">
        <v>11</v>
      </c>
      <c r="G14" s="5" t="b">
        <v>0</v>
      </c>
      <c r="H14" s="5">
        <v>1</v>
      </c>
      <c r="I14" s="5" t="s">
        <v>2</v>
      </c>
      <c r="J14" s="5">
        <v>11</v>
      </c>
      <c r="K14" s="5" t="b">
        <v>0</v>
      </c>
      <c r="L14" s="5" t="b">
        <v>0</v>
      </c>
      <c r="M14" s="6" t="s">
        <v>66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66</v>
      </c>
      <c r="AN14" s="5">
        <v>0</v>
      </c>
      <c r="AO14" s="5">
        <v>6</v>
      </c>
      <c r="AP14" s="5" t="b">
        <v>1</v>
      </c>
      <c r="AQ14" s="58" t="s">
        <v>278</v>
      </c>
      <c r="AR14" s="5">
        <v>1</v>
      </c>
      <c r="AS14" s="5">
        <v>48</v>
      </c>
      <c r="AT14" s="5" t="b">
        <v>0</v>
      </c>
      <c r="AU14" s="6" t="s">
        <v>66</v>
      </c>
      <c r="AV14" s="5">
        <v>0</v>
      </c>
      <c r="AW14" s="5">
        <v>6</v>
      </c>
      <c r="AX14" s="5" t="b">
        <v>0</v>
      </c>
      <c r="AY14" s="6" t="s">
        <v>66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29" t="s">
        <v>110</v>
      </c>
      <c r="BG14" s="6"/>
      <c r="BH14" s="5"/>
      <c r="BI14" s="5"/>
      <c r="BJ14" s="6"/>
      <c r="BK14" s="5" t="s">
        <v>0</v>
      </c>
      <c r="BL14" s="5">
        <v>0</v>
      </c>
      <c r="BM14" s="5" t="b">
        <v>0</v>
      </c>
      <c r="CL14" s="8" t="s">
        <v>288</v>
      </c>
      <c r="CO14" s="57" t="str">
        <f t="shared" si="1"/>
        <v>.Section-PrefaceSPF</v>
      </c>
      <c r="CR14" s="8" t="b">
        <v>1</v>
      </c>
      <c r="CS14" s="8" t="b">
        <v>1</v>
      </c>
      <c r="CT14" s="8" t="b">
        <v>1</v>
      </c>
    </row>
    <row r="15" spans="1:98" x14ac:dyDescent="0.25">
      <c r="A15" s="71" t="str">
        <f t="shared" si="0"/>
        <v>Section-Intro-Frontmatter (SIF)</v>
      </c>
      <c r="B15" s="5"/>
      <c r="C15" s="5" t="s">
        <v>261</v>
      </c>
      <c r="D15" s="6" t="s">
        <v>399</v>
      </c>
      <c r="E15" s="5" t="s">
        <v>590</v>
      </c>
      <c r="F15" s="5">
        <v>12</v>
      </c>
      <c r="G15" s="5" t="b">
        <v>0</v>
      </c>
      <c r="H15" s="5">
        <v>1</v>
      </c>
      <c r="I15" s="5" t="s">
        <v>2</v>
      </c>
      <c r="J15" s="5">
        <v>11</v>
      </c>
      <c r="K15" s="5" t="b">
        <v>0</v>
      </c>
      <c r="L15" s="5" t="b">
        <v>0</v>
      </c>
      <c r="M15" s="6" t="s">
        <v>66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2</v>
      </c>
      <c r="AJ15" s="5" t="b">
        <v>1</v>
      </c>
      <c r="AK15" s="5" t="b">
        <v>0</v>
      </c>
      <c r="AL15" s="5" t="b">
        <v>0</v>
      </c>
      <c r="AM15" s="6" t="s">
        <v>66</v>
      </c>
      <c r="AN15" s="5">
        <v>0</v>
      </c>
      <c r="AO15" s="5">
        <v>6</v>
      </c>
      <c r="AP15" s="5" t="b">
        <v>1</v>
      </c>
      <c r="AQ15" s="58" t="s">
        <v>278</v>
      </c>
      <c r="AR15" s="5">
        <v>1</v>
      </c>
      <c r="AS15" s="5">
        <v>48</v>
      </c>
      <c r="AT15" s="5" t="b">
        <v>0</v>
      </c>
      <c r="AU15" s="6" t="s">
        <v>66</v>
      </c>
      <c r="AV15" s="5">
        <v>0</v>
      </c>
      <c r="AW15" s="5">
        <v>6</v>
      </c>
      <c r="AX15" s="5" t="b">
        <v>0</v>
      </c>
      <c r="AY15" s="6" t="s">
        <v>66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29" t="s">
        <v>110</v>
      </c>
      <c r="BG15" s="6"/>
      <c r="BH15" s="5"/>
      <c r="BI15" s="5"/>
      <c r="BJ15" s="6"/>
      <c r="BK15" s="5" t="s">
        <v>0</v>
      </c>
      <c r="BL15" s="5">
        <v>0</v>
      </c>
      <c r="BM15" s="5" t="b">
        <v>0</v>
      </c>
      <c r="CL15" s="8" t="s">
        <v>294</v>
      </c>
      <c r="CO15" s="57" t="str">
        <f t="shared" si="1"/>
        <v>.Section-Intro-FrontmatterSIF</v>
      </c>
      <c r="CR15" s="8" t="b">
        <v>1</v>
      </c>
      <c r="CS15" s="8" t="b">
        <v>1</v>
      </c>
      <c r="CT15" s="8" t="b">
        <v>1</v>
      </c>
    </row>
    <row r="16" spans="1:98" x14ac:dyDescent="0.25">
      <c r="A16" s="71" t="str">
        <f t="shared" si="0"/>
        <v>Section-Intro-Chapter (SIC)</v>
      </c>
      <c r="B16" s="5"/>
      <c r="C16" s="5" t="s">
        <v>260</v>
      </c>
      <c r="D16" s="6" t="s">
        <v>400</v>
      </c>
      <c r="E16" s="5" t="s">
        <v>590</v>
      </c>
      <c r="F16" s="5">
        <v>13</v>
      </c>
      <c r="G16" s="5" t="b">
        <v>0</v>
      </c>
      <c r="H16" s="5">
        <v>1</v>
      </c>
      <c r="I16" s="5" t="s">
        <v>2</v>
      </c>
      <c r="J16" s="5">
        <v>11</v>
      </c>
      <c r="K16" s="5" t="b">
        <v>0</v>
      </c>
      <c r="L16" s="5" t="b">
        <v>0</v>
      </c>
      <c r="M16" s="6" t="s">
        <v>66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2</v>
      </c>
      <c r="AJ16" s="5" t="b">
        <v>1</v>
      </c>
      <c r="AK16" s="5" t="b">
        <v>0</v>
      </c>
      <c r="AL16" s="5" t="b">
        <v>0</v>
      </c>
      <c r="AM16" s="6" t="s">
        <v>66</v>
      </c>
      <c r="AN16" s="5">
        <v>0</v>
      </c>
      <c r="AO16" s="5">
        <v>6</v>
      </c>
      <c r="AP16" s="5" t="b">
        <v>1</v>
      </c>
      <c r="AQ16" s="58" t="s">
        <v>278</v>
      </c>
      <c r="AR16" s="5">
        <v>1</v>
      </c>
      <c r="AS16" s="5">
        <v>48</v>
      </c>
      <c r="AT16" s="5" t="b">
        <v>0</v>
      </c>
      <c r="AU16" s="6" t="s">
        <v>66</v>
      </c>
      <c r="AV16" s="5">
        <v>0</v>
      </c>
      <c r="AW16" s="5">
        <v>6</v>
      </c>
      <c r="AX16" s="5" t="b">
        <v>0</v>
      </c>
      <c r="AY16" s="6" t="s">
        <v>66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18" t="s">
        <v>77</v>
      </c>
      <c r="BG16" s="6"/>
      <c r="BH16" s="5"/>
      <c r="BI16" s="5"/>
      <c r="BJ16" s="6"/>
      <c r="BK16" s="5" t="s">
        <v>0</v>
      </c>
      <c r="BL16" s="5">
        <v>0</v>
      </c>
      <c r="BM16" s="5" t="b">
        <v>0</v>
      </c>
      <c r="CL16" s="8" t="s">
        <v>295</v>
      </c>
      <c r="CM16" s="8" t="s">
        <v>367</v>
      </c>
      <c r="CO16" s="57" t="str">
        <f t="shared" si="1"/>
        <v>.Section-Intro-ChapterSIC</v>
      </c>
      <c r="CR16" s="8" t="b">
        <v>1</v>
      </c>
      <c r="CS16" s="8" t="b">
        <v>1</v>
      </c>
      <c r="CT16" s="8" t="b">
        <v>1</v>
      </c>
    </row>
    <row r="17" spans="1:98" x14ac:dyDescent="0.25">
      <c r="A17" s="71" t="str">
        <f t="shared" si="0"/>
        <v>Section-Part (SPT)</v>
      </c>
      <c r="B17" s="5"/>
      <c r="C17" s="5" t="s">
        <v>262</v>
      </c>
      <c r="D17" s="6" t="s">
        <v>401</v>
      </c>
      <c r="E17" s="5" t="s">
        <v>589</v>
      </c>
      <c r="F17" s="5">
        <v>14</v>
      </c>
      <c r="G17" s="5" t="b">
        <v>0</v>
      </c>
      <c r="H17" s="5">
        <v>1</v>
      </c>
      <c r="I17" s="5" t="s">
        <v>2</v>
      </c>
      <c r="J17" s="5">
        <v>11</v>
      </c>
      <c r="K17" s="5" t="b">
        <v>0</v>
      </c>
      <c r="L17" s="5" t="b">
        <v>0</v>
      </c>
      <c r="M17" s="35" t="s">
        <v>124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1</v>
      </c>
      <c r="AJ17" s="5" t="b">
        <v>1</v>
      </c>
      <c r="AK17" s="5" t="b">
        <v>0</v>
      </c>
      <c r="AL17" s="5" t="b">
        <v>0</v>
      </c>
      <c r="AM17" s="6" t="s">
        <v>66</v>
      </c>
      <c r="AN17" s="5">
        <v>0</v>
      </c>
      <c r="AO17" s="5">
        <v>6</v>
      </c>
      <c r="AP17" s="5" t="b">
        <v>1</v>
      </c>
      <c r="AQ17" s="58" t="s">
        <v>278</v>
      </c>
      <c r="AR17" s="5">
        <v>1</v>
      </c>
      <c r="AS17" s="5">
        <v>48</v>
      </c>
      <c r="AT17" s="5" t="b">
        <v>0</v>
      </c>
      <c r="AU17" s="6" t="s">
        <v>66</v>
      </c>
      <c r="AV17" s="5">
        <v>0</v>
      </c>
      <c r="AW17" s="5">
        <v>6</v>
      </c>
      <c r="AX17" s="5" t="b">
        <v>0</v>
      </c>
      <c r="AY17" s="6" t="s">
        <v>66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20" t="s">
        <v>78</v>
      </c>
      <c r="BG17" s="6"/>
      <c r="BH17" s="5"/>
      <c r="BI17" s="5"/>
      <c r="BJ17" s="6"/>
      <c r="BK17" s="5" t="s">
        <v>0</v>
      </c>
      <c r="BL17" s="5">
        <v>0</v>
      </c>
      <c r="BM17" s="5" t="b">
        <v>0</v>
      </c>
      <c r="CL17" s="8" t="s">
        <v>296</v>
      </c>
      <c r="CO17" s="57" t="str">
        <f t="shared" si="1"/>
        <v>.Section-PartSPT</v>
      </c>
      <c r="CR17" s="8" t="b">
        <v>1</v>
      </c>
      <c r="CS17" s="8" t="b">
        <v>1</v>
      </c>
      <c r="CT17" s="8" t="b">
        <v>1</v>
      </c>
    </row>
    <row r="18" spans="1:98" x14ac:dyDescent="0.25">
      <c r="A18" s="71" t="str">
        <f t="shared" si="0"/>
        <v>Section-Chapter (SCP)</v>
      </c>
      <c r="B18" s="5"/>
      <c r="C18" s="5" t="s">
        <v>263</v>
      </c>
      <c r="D18" s="6" t="s">
        <v>402</v>
      </c>
      <c r="E18" s="5" t="s">
        <v>589</v>
      </c>
      <c r="F18" s="5">
        <v>15</v>
      </c>
      <c r="G18" s="5" t="b">
        <v>0</v>
      </c>
      <c r="H18" s="5">
        <v>1</v>
      </c>
      <c r="I18" s="5" t="s">
        <v>2</v>
      </c>
      <c r="J18" s="5">
        <v>11</v>
      </c>
      <c r="K18" s="5" t="b">
        <v>0</v>
      </c>
      <c r="L18" s="5" t="b">
        <v>0</v>
      </c>
      <c r="M18" s="6" t="s">
        <v>66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2</v>
      </c>
      <c r="AJ18" s="5" t="b">
        <v>1</v>
      </c>
      <c r="AK18" s="5" t="b">
        <v>0</v>
      </c>
      <c r="AL18" s="5" t="b">
        <v>0</v>
      </c>
      <c r="AM18" s="6" t="s">
        <v>66</v>
      </c>
      <c r="AN18" s="5">
        <v>0</v>
      </c>
      <c r="AO18" s="5">
        <v>6</v>
      </c>
      <c r="AP18" s="5" t="b">
        <v>1</v>
      </c>
      <c r="AQ18" s="58" t="s">
        <v>278</v>
      </c>
      <c r="AR18" s="5">
        <v>1</v>
      </c>
      <c r="AS18" s="5">
        <v>48</v>
      </c>
      <c r="AT18" s="5" t="b">
        <v>0</v>
      </c>
      <c r="AU18" s="6" t="s">
        <v>66</v>
      </c>
      <c r="AV18" s="5">
        <v>0</v>
      </c>
      <c r="AW18" s="5">
        <v>6</v>
      </c>
      <c r="AX18" s="5" t="b">
        <v>0</v>
      </c>
      <c r="AY18" s="6" t="s">
        <v>66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18" t="s">
        <v>77</v>
      </c>
      <c r="BG18" s="6"/>
      <c r="BH18" s="5"/>
      <c r="BI18" s="5"/>
      <c r="BJ18" s="6"/>
      <c r="BK18" s="5" t="s">
        <v>0</v>
      </c>
      <c r="BL18" s="5">
        <v>0</v>
      </c>
      <c r="BM18" s="5" t="b">
        <v>0</v>
      </c>
      <c r="CL18" s="8" t="s">
        <v>295</v>
      </c>
      <c r="CO18" s="57" t="str">
        <f t="shared" si="1"/>
        <v>.Section-ChapterSCP</v>
      </c>
      <c r="CR18" s="8" t="b">
        <v>1</v>
      </c>
      <c r="CS18" s="8" t="b">
        <v>1</v>
      </c>
      <c r="CT18" s="8" t="b">
        <v>1</v>
      </c>
    </row>
    <row r="19" spans="1:98" x14ac:dyDescent="0.25">
      <c r="A19" s="71" t="str">
        <f t="shared" si="0"/>
        <v>Section-Conclusion (SCL)</v>
      </c>
      <c r="B19" s="5"/>
      <c r="C19" s="5" t="s">
        <v>266</v>
      </c>
      <c r="D19" s="6" t="s">
        <v>403</v>
      </c>
      <c r="E19" s="5" t="s">
        <v>590</v>
      </c>
      <c r="F19" s="5">
        <v>16</v>
      </c>
      <c r="G19" s="5" t="b">
        <v>0</v>
      </c>
      <c r="H19" s="5">
        <v>1</v>
      </c>
      <c r="I19" s="5" t="s">
        <v>2</v>
      </c>
      <c r="J19" s="5">
        <v>11</v>
      </c>
      <c r="K19" s="5" t="b">
        <v>0</v>
      </c>
      <c r="L19" s="5" t="b">
        <v>0</v>
      </c>
      <c r="M19" s="6" t="s">
        <v>66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1</v>
      </c>
      <c r="AJ19" s="5" t="b">
        <v>1</v>
      </c>
      <c r="AK19" s="5" t="b">
        <v>0</v>
      </c>
      <c r="AL19" s="5" t="b">
        <v>0</v>
      </c>
      <c r="AM19" s="6" t="s">
        <v>66</v>
      </c>
      <c r="AN19" s="5">
        <v>0</v>
      </c>
      <c r="AO19" s="5">
        <v>6</v>
      </c>
      <c r="AP19" s="5" t="b">
        <v>1</v>
      </c>
      <c r="AQ19" s="58" t="s">
        <v>278</v>
      </c>
      <c r="AR19" s="5">
        <v>1</v>
      </c>
      <c r="AS19" s="5">
        <v>48</v>
      </c>
      <c r="AT19" s="5" t="b">
        <v>0</v>
      </c>
      <c r="AU19" s="6" t="s">
        <v>66</v>
      </c>
      <c r="AV19" s="5">
        <v>0</v>
      </c>
      <c r="AW19" s="5">
        <v>6</v>
      </c>
      <c r="AX19" s="5" t="b">
        <v>0</v>
      </c>
      <c r="AY19" s="6" t="s">
        <v>66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18" t="s">
        <v>77</v>
      </c>
      <c r="BG19" s="6"/>
      <c r="BH19" s="5"/>
      <c r="BI19" s="5"/>
      <c r="BJ19" s="6"/>
      <c r="BK19" s="5" t="s">
        <v>0</v>
      </c>
      <c r="BL19" s="5">
        <v>0</v>
      </c>
      <c r="BM19" s="5" t="b">
        <v>0</v>
      </c>
      <c r="CL19" s="8" t="s">
        <v>297</v>
      </c>
      <c r="CM19" s="8" t="s">
        <v>368</v>
      </c>
      <c r="CO19" s="57" t="str">
        <f t="shared" si="1"/>
        <v>.Section-ConclusionSCL</v>
      </c>
      <c r="CR19" s="8" t="b">
        <v>1</v>
      </c>
      <c r="CS19" s="8" t="b">
        <v>1</v>
      </c>
      <c r="CT19" s="8" t="b">
        <v>1</v>
      </c>
    </row>
    <row r="20" spans="1:98" x14ac:dyDescent="0.25">
      <c r="A20" s="71" t="str">
        <f t="shared" si="0"/>
        <v>Section-Afterword (SAW)</v>
      </c>
      <c r="B20" s="5"/>
      <c r="C20" s="5" t="s">
        <v>265</v>
      </c>
      <c r="D20" s="6" t="s">
        <v>404</v>
      </c>
      <c r="E20" s="5" t="s">
        <v>590</v>
      </c>
      <c r="F20" s="5">
        <v>17</v>
      </c>
      <c r="G20" s="5" t="b">
        <v>0</v>
      </c>
      <c r="H20" s="5">
        <v>1</v>
      </c>
      <c r="I20" s="5" t="s">
        <v>2</v>
      </c>
      <c r="J20" s="5">
        <v>11</v>
      </c>
      <c r="K20" s="5" t="b">
        <v>0</v>
      </c>
      <c r="L20" s="5" t="b">
        <v>0</v>
      </c>
      <c r="M20" s="35" t="s">
        <v>124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1</v>
      </c>
      <c r="AJ20" s="5" t="b">
        <v>1</v>
      </c>
      <c r="AK20" s="5" t="b">
        <v>0</v>
      </c>
      <c r="AL20" s="5" t="b">
        <v>0</v>
      </c>
      <c r="AM20" s="6" t="s">
        <v>66</v>
      </c>
      <c r="AN20" s="5">
        <v>0</v>
      </c>
      <c r="AO20" s="5">
        <v>6</v>
      </c>
      <c r="AP20" s="5" t="b">
        <v>1</v>
      </c>
      <c r="AQ20" s="58" t="s">
        <v>278</v>
      </c>
      <c r="AR20" s="5">
        <v>1</v>
      </c>
      <c r="AS20" s="5">
        <v>48</v>
      </c>
      <c r="AT20" s="5" t="b">
        <v>0</v>
      </c>
      <c r="AU20" s="6" t="s">
        <v>66</v>
      </c>
      <c r="AV20" s="5">
        <v>0</v>
      </c>
      <c r="AW20" s="5">
        <v>6</v>
      </c>
      <c r="AX20" s="5" t="b">
        <v>0</v>
      </c>
      <c r="AY20" s="6" t="s">
        <v>66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13" t="s">
        <v>73</v>
      </c>
      <c r="BG20" s="6"/>
      <c r="BH20" s="5"/>
      <c r="BI20" s="5"/>
      <c r="BJ20" s="6"/>
      <c r="BK20" s="5" t="s">
        <v>0</v>
      </c>
      <c r="BL20" s="5">
        <v>0</v>
      </c>
      <c r="BM20" s="5" t="b">
        <v>0</v>
      </c>
      <c r="CL20" s="8" t="s">
        <v>299</v>
      </c>
      <c r="CO20" s="57" t="str">
        <f t="shared" si="1"/>
        <v>.Section-AfterwordSAW</v>
      </c>
      <c r="CR20" s="8" t="b">
        <v>1</v>
      </c>
      <c r="CS20" s="8" t="b">
        <v>1</v>
      </c>
      <c r="CT20" s="8" t="b">
        <v>1</v>
      </c>
    </row>
    <row r="21" spans="1:98" x14ac:dyDescent="0.25">
      <c r="A21" s="71" t="str">
        <f t="shared" si="0"/>
        <v>Section-Acknowledgments (SAK)</v>
      </c>
      <c r="B21" s="5"/>
      <c r="C21" s="5" t="s">
        <v>267</v>
      </c>
      <c r="D21" s="6" t="s">
        <v>405</v>
      </c>
      <c r="E21" s="5" t="s">
        <v>590</v>
      </c>
      <c r="F21" s="5">
        <v>18</v>
      </c>
      <c r="G21" s="5" t="b">
        <v>0</v>
      </c>
      <c r="H21" s="5">
        <v>1</v>
      </c>
      <c r="I21" s="5" t="s">
        <v>2</v>
      </c>
      <c r="J21" s="5">
        <v>11</v>
      </c>
      <c r="K21" s="5" t="b">
        <v>0</v>
      </c>
      <c r="L21" s="5" t="b">
        <v>0</v>
      </c>
      <c r="M21" s="35" t="s">
        <v>124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1</v>
      </c>
      <c r="AJ21" s="5" t="b">
        <v>1</v>
      </c>
      <c r="AK21" s="5" t="b">
        <v>0</v>
      </c>
      <c r="AL21" s="5" t="b">
        <v>0</v>
      </c>
      <c r="AM21" s="6" t="s">
        <v>66</v>
      </c>
      <c r="AN21" s="5">
        <v>0</v>
      </c>
      <c r="AO21" s="5">
        <v>6</v>
      </c>
      <c r="AP21" s="5" t="b">
        <v>1</v>
      </c>
      <c r="AQ21" s="58" t="s">
        <v>278</v>
      </c>
      <c r="AR21" s="5">
        <v>1</v>
      </c>
      <c r="AS21" s="5">
        <v>48</v>
      </c>
      <c r="AT21" s="5" t="b">
        <v>0</v>
      </c>
      <c r="AU21" s="6" t="s">
        <v>66</v>
      </c>
      <c r="AV21" s="5">
        <v>0</v>
      </c>
      <c r="AW21" s="5">
        <v>6</v>
      </c>
      <c r="AX21" s="5" t="b">
        <v>0</v>
      </c>
      <c r="AY21" s="6" t="s">
        <v>66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13" t="s">
        <v>73</v>
      </c>
      <c r="BG21" s="6"/>
      <c r="BH21" s="5"/>
      <c r="BI21" s="5"/>
      <c r="BJ21" s="6"/>
      <c r="BK21" s="5" t="s">
        <v>0</v>
      </c>
      <c r="BL21" s="5">
        <v>0</v>
      </c>
      <c r="BM21" s="5" t="b">
        <v>0</v>
      </c>
      <c r="CL21" s="8" t="s">
        <v>300</v>
      </c>
      <c r="CO21" s="57" t="str">
        <f t="shared" si="1"/>
        <v>.Section-AcknowledgmentsSAK</v>
      </c>
      <c r="CR21" s="8" t="b">
        <v>1</v>
      </c>
      <c r="CS21" s="8" t="b">
        <v>1</v>
      </c>
      <c r="CT21" s="8" t="b">
        <v>1</v>
      </c>
    </row>
    <row r="22" spans="1:98" x14ac:dyDescent="0.25">
      <c r="A22" s="71" t="str">
        <f t="shared" si="0"/>
        <v>Section-Appendix (SAP)</v>
      </c>
      <c r="B22" s="5"/>
      <c r="C22" s="5" t="s">
        <v>264</v>
      </c>
      <c r="D22" s="6" t="s">
        <v>406</v>
      </c>
      <c r="E22" s="5" t="s">
        <v>590</v>
      </c>
      <c r="F22" s="5">
        <v>19</v>
      </c>
      <c r="G22" s="5" t="b">
        <v>0</v>
      </c>
      <c r="H22" s="5">
        <v>1</v>
      </c>
      <c r="I22" s="5" t="s">
        <v>2</v>
      </c>
      <c r="J22" s="5">
        <v>11</v>
      </c>
      <c r="K22" s="5" t="b">
        <v>0</v>
      </c>
      <c r="L22" s="5" t="b">
        <v>0</v>
      </c>
      <c r="M22" s="35" t="s">
        <v>124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6</v>
      </c>
      <c r="AE22" s="5">
        <v>0</v>
      </c>
      <c r="AF22" s="5">
        <v>11</v>
      </c>
      <c r="AG22" s="5">
        <v>1</v>
      </c>
      <c r="AH22" s="5">
        <v>0</v>
      </c>
      <c r="AI22" s="5">
        <v>1</v>
      </c>
      <c r="AJ22" s="5" t="b">
        <v>1</v>
      </c>
      <c r="AK22" s="5" t="b">
        <v>0</v>
      </c>
      <c r="AL22" s="5" t="b">
        <v>0</v>
      </c>
      <c r="AM22" s="6" t="s">
        <v>66</v>
      </c>
      <c r="AN22" s="5">
        <v>0</v>
      </c>
      <c r="AO22" s="5">
        <v>6</v>
      </c>
      <c r="AP22" s="5" t="b">
        <v>1</v>
      </c>
      <c r="AQ22" s="58" t="s">
        <v>278</v>
      </c>
      <c r="AR22" s="5">
        <v>1</v>
      </c>
      <c r="AS22" s="5">
        <v>48</v>
      </c>
      <c r="AT22" s="5" t="b">
        <v>0</v>
      </c>
      <c r="AU22" s="6" t="s">
        <v>66</v>
      </c>
      <c r="AV22" s="5">
        <v>0</v>
      </c>
      <c r="AW22" s="5">
        <v>6</v>
      </c>
      <c r="AX22" s="5" t="b">
        <v>0</v>
      </c>
      <c r="AY22" s="6" t="s">
        <v>66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11" t="s">
        <v>70</v>
      </c>
      <c r="BG22" s="6"/>
      <c r="BH22" s="5"/>
      <c r="BI22" s="5"/>
      <c r="BJ22" s="6"/>
      <c r="BK22" s="5" t="s">
        <v>0</v>
      </c>
      <c r="BL22" s="5">
        <v>0</v>
      </c>
      <c r="BM22" s="5" t="b">
        <v>0</v>
      </c>
      <c r="CL22" s="8" t="s">
        <v>298</v>
      </c>
      <c r="CO22" s="57" t="str">
        <f t="shared" si="1"/>
        <v>.Section-AppendixSAP</v>
      </c>
      <c r="CR22" s="8" t="b">
        <v>1</v>
      </c>
      <c r="CS22" s="8" t="b">
        <v>1</v>
      </c>
      <c r="CT22" s="8" t="b">
        <v>1</v>
      </c>
    </row>
    <row r="23" spans="1:98" x14ac:dyDescent="0.25">
      <c r="A23" s="71" t="str">
        <f t="shared" si="0"/>
        <v>Section-Glossary (AGL)</v>
      </c>
      <c r="B23" s="5"/>
      <c r="C23" s="5" t="s">
        <v>268</v>
      </c>
      <c r="D23" s="6" t="s">
        <v>407</v>
      </c>
      <c r="E23" s="5" t="s">
        <v>590</v>
      </c>
      <c r="F23" s="5">
        <v>20</v>
      </c>
      <c r="G23" s="5" t="b">
        <v>0</v>
      </c>
      <c r="H23" s="5">
        <v>1</v>
      </c>
      <c r="I23" s="5" t="s">
        <v>2</v>
      </c>
      <c r="J23" s="5">
        <v>11</v>
      </c>
      <c r="K23" s="5" t="b">
        <v>0</v>
      </c>
      <c r="L23" s="5" t="b">
        <v>0</v>
      </c>
      <c r="M23" s="35" t="s">
        <v>124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66</v>
      </c>
      <c r="AN23" s="5">
        <v>0</v>
      </c>
      <c r="AO23" s="5">
        <v>6</v>
      </c>
      <c r="AP23" s="5" t="b">
        <v>1</v>
      </c>
      <c r="AQ23" s="58" t="s">
        <v>278</v>
      </c>
      <c r="AR23" s="5">
        <v>1</v>
      </c>
      <c r="AS23" s="5">
        <v>48</v>
      </c>
      <c r="AT23" s="5" t="b">
        <v>0</v>
      </c>
      <c r="AU23" s="6" t="s">
        <v>66</v>
      </c>
      <c r="AV23" s="5">
        <v>0</v>
      </c>
      <c r="AW23" s="5">
        <v>6</v>
      </c>
      <c r="AX23" s="5" t="b">
        <v>0</v>
      </c>
      <c r="AY23" s="6" t="s">
        <v>66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23" t="s">
        <v>80</v>
      </c>
      <c r="BG23" s="6"/>
      <c r="BH23" s="5"/>
      <c r="BI23" s="5"/>
      <c r="BJ23" s="6"/>
      <c r="BK23" s="5" t="s">
        <v>0</v>
      </c>
      <c r="BL23" s="5">
        <v>0</v>
      </c>
      <c r="BM23" s="5" t="b">
        <v>0</v>
      </c>
      <c r="CL23" s="8" t="s">
        <v>301</v>
      </c>
      <c r="CO23" s="57" t="str">
        <f t="shared" si="1"/>
        <v>.Section-GlossaryAGL</v>
      </c>
      <c r="CR23" s="8" t="b">
        <v>1</v>
      </c>
      <c r="CS23" s="8" t="b">
        <v>1</v>
      </c>
      <c r="CT23" s="8" t="b">
        <v>1</v>
      </c>
    </row>
    <row r="24" spans="1:98" x14ac:dyDescent="0.25">
      <c r="A24" s="71" t="str">
        <f t="shared" si="0"/>
        <v>Section-Excerpt-Chapter (SEC)</v>
      </c>
      <c r="B24" s="5"/>
      <c r="C24" s="5" t="s">
        <v>272</v>
      </c>
      <c r="D24" s="6" t="s">
        <v>408</v>
      </c>
      <c r="E24" s="5" t="s">
        <v>589</v>
      </c>
      <c r="F24" s="5">
        <v>21</v>
      </c>
      <c r="G24" s="5" t="b">
        <v>0</v>
      </c>
      <c r="H24" s="5">
        <v>1</v>
      </c>
      <c r="I24" s="5" t="s">
        <v>2</v>
      </c>
      <c r="J24" s="5">
        <v>11</v>
      </c>
      <c r="K24" s="5" t="b">
        <v>0</v>
      </c>
      <c r="L24" s="5" t="b">
        <v>0</v>
      </c>
      <c r="M24" s="35" t="s">
        <v>124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2</v>
      </c>
      <c r="AJ24" s="5" t="b">
        <v>1</v>
      </c>
      <c r="AK24" s="5" t="b">
        <v>0</v>
      </c>
      <c r="AL24" s="5" t="b">
        <v>0</v>
      </c>
      <c r="AM24" s="6" t="s">
        <v>66</v>
      </c>
      <c r="AN24" s="5">
        <v>0</v>
      </c>
      <c r="AO24" s="5">
        <v>6</v>
      </c>
      <c r="AP24" s="5" t="b">
        <v>1</v>
      </c>
      <c r="AQ24" s="58" t="s">
        <v>278</v>
      </c>
      <c r="AR24" s="5">
        <v>1</v>
      </c>
      <c r="AS24" s="5">
        <v>48</v>
      </c>
      <c r="AT24" s="5" t="b">
        <v>0</v>
      </c>
      <c r="AU24" s="6" t="s">
        <v>66</v>
      </c>
      <c r="AV24" s="5">
        <v>0</v>
      </c>
      <c r="AW24" s="5">
        <v>6</v>
      </c>
      <c r="AX24" s="5" t="b">
        <v>0</v>
      </c>
      <c r="AY24" s="6" t="s">
        <v>66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40" t="s">
        <v>85</v>
      </c>
      <c r="BG24" s="6"/>
      <c r="BH24" s="5"/>
      <c r="BI24" s="5"/>
      <c r="BJ24" s="6"/>
      <c r="BK24" s="5" t="s">
        <v>0</v>
      </c>
      <c r="BL24" s="5">
        <v>0</v>
      </c>
      <c r="BM24" s="5" t="b">
        <v>0</v>
      </c>
      <c r="CL24" s="8" t="s">
        <v>298</v>
      </c>
      <c r="CM24" s="8" t="s">
        <v>370</v>
      </c>
      <c r="CN24" s="8" t="s">
        <v>310</v>
      </c>
      <c r="CO24" s="57" t="str">
        <f t="shared" si="1"/>
        <v>.Section-Excerpt-ChapterSEC</v>
      </c>
      <c r="CR24" s="8" t="b">
        <v>1</v>
      </c>
      <c r="CS24" s="8" t="b">
        <v>1</v>
      </c>
      <c r="CT24" s="8" t="b">
        <v>1</v>
      </c>
    </row>
    <row r="25" spans="1:98" x14ac:dyDescent="0.25">
      <c r="A25" s="71" t="str">
        <f t="shared" si="0"/>
        <v>Section-Excerpt-Opener (SEO)</v>
      </c>
      <c r="B25" s="5"/>
      <c r="C25" s="5" t="s">
        <v>271</v>
      </c>
      <c r="D25" s="6" t="s">
        <v>409</v>
      </c>
      <c r="E25" s="5" t="s">
        <v>590</v>
      </c>
      <c r="F25" s="5">
        <v>22</v>
      </c>
      <c r="G25" s="5" t="b">
        <v>0</v>
      </c>
      <c r="H25" s="5">
        <v>1</v>
      </c>
      <c r="I25" s="5" t="s">
        <v>2</v>
      </c>
      <c r="J25" s="5">
        <v>11</v>
      </c>
      <c r="K25" s="5" t="b">
        <v>0</v>
      </c>
      <c r="L25" s="5" t="b">
        <v>0</v>
      </c>
      <c r="M25" s="35" t="s">
        <v>124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66</v>
      </c>
      <c r="AN25" s="5">
        <v>0</v>
      </c>
      <c r="AO25" s="5">
        <v>6</v>
      </c>
      <c r="AP25" s="5" t="b">
        <v>1</v>
      </c>
      <c r="AQ25" s="58" t="s">
        <v>278</v>
      </c>
      <c r="AR25" s="5">
        <v>1</v>
      </c>
      <c r="AS25" s="5">
        <v>48</v>
      </c>
      <c r="AT25" s="5" t="b">
        <v>0</v>
      </c>
      <c r="AU25" s="6" t="s">
        <v>66</v>
      </c>
      <c r="AV25" s="5">
        <v>0</v>
      </c>
      <c r="AW25" s="5">
        <v>6</v>
      </c>
      <c r="AX25" s="5" t="b">
        <v>0</v>
      </c>
      <c r="AY25" s="6" t="s">
        <v>66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40" t="s">
        <v>85</v>
      </c>
      <c r="BG25" s="6"/>
      <c r="BH25" s="5"/>
      <c r="BI25" s="5"/>
      <c r="BJ25" s="6"/>
      <c r="BK25" s="5" t="s">
        <v>0</v>
      </c>
      <c r="BL25" s="5">
        <v>0</v>
      </c>
      <c r="BM25" s="5" t="b">
        <v>0</v>
      </c>
      <c r="CL25" s="8" t="s">
        <v>298</v>
      </c>
      <c r="CM25" s="8" t="s">
        <v>369</v>
      </c>
      <c r="CN25" s="8" t="s">
        <v>309</v>
      </c>
      <c r="CO25" s="57" t="str">
        <f t="shared" si="1"/>
        <v>.Section-Excerpt-OpenerSEO</v>
      </c>
      <c r="CR25" s="8" t="b">
        <v>1</v>
      </c>
      <c r="CS25" s="8" t="b">
        <v>1</v>
      </c>
      <c r="CT25" s="8" t="b">
        <v>1</v>
      </c>
    </row>
    <row r="26" spans="1:98" x14ac:dyDescent="0.25">
      <c r="A26" s="71" t="str">
        <f t="shared" si="0"/>
        <v>Section-Bibliography (SBI)</v>
      </c>
      <c r="B26" s="5"/>
      <c r="C26" s="5" t="s">
        <v>270</v>
      </c>
      <c r="D26" s="6" t="s">
        <v>411</v>
      </c>
      <c r="E26" s="5" t="s">
        <v>590</v>
      </c>
      <c r="F26" s="5">
        <v>23</v>
      </c>
      <c r="G26" s="5" t="b">
        <v>0</v>
      </c>
      <c r="H26" s="5">
        <v>1</v>
      </c>
      <c r="I26" s="5" t="s">
        <v>2</v>
      </c>
      <c r="J26" s="5">
        <v>11</v>
      </c>
      <c r="K26" s="5" t="b">
        <v>0</v>
      </c>
      <c r="L26" s="5" t="b">
        <v>0</v>
      </c>
      <c r="M26" s="35" t="s">
        <v>124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66</v>
      </c>
      <c r="AN26" s="5">
        <v>0</v>
      </c>
      <c r="AO26" s="5">
        <v>6</v>
      </c>
      <c r="AP26" s="5" t="b">
        <v>1</v>
      </c>
      <c r="AQ26" s="58" t="s">
        <v>278</v>
      </c>
      <c r="AR26" s="5">
        <v>1</v>
      </c>
      <c r="AS26" s="5">
        <v>48</v>
      </c>
      <c r="AT26" s="5" t="b">
        <v>0</v>
      </c>
      <c r="AU26" s="6" t="s">
        <v>66</v>
      </c>
      <c r="AV26" s="5">
        <v>0</v>
      </c>
      <c r="AW26" s="5">
        <v>6</v>
      </c>
      <c r="AX26" s="5" t="b">
        <v>0</v>
      </c>
      <c r="AY26" s="6" t="s">
        <v>66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12" t="s">
        <v>72</v>
      </c>
      <c r="BG26" s="6"/>
      <c r="BH26" s="5"/>
      <c r="BI26" s="5"/>
      <c r="BJ26" s="6"/>
      <c r="BK26" s="5" t="s">
        <v>0</v>
      </c>
      <c r="BL26" s="5">
        <v>0</v>
      </c>
      <c r="BM26" s="5" t="b">
        <v>0</v>
      </c>
      <c r="CL26" s="8" t="s">
        <v>302</v>
      </c>
      <c r="CO26" s="57" t="str">
        <f t="shared" si="1"/>
        <v>.Section-BibliographySBI</v>
      </c>
      <c r="CR26" s="8" t="b">
        <v>1</v>
      </c>
      <c r="CS26" s="8" t="b">
        <v>1</v>
      </c>
      <c r="CT26" s="8" t="b">
        <v>1</v>
      </c>
    </row>
    <row r="27" spans="1:98" x14ac:dyDescent="0.25">
      <c r="A27" s="71" t="str">
        <f t="shared" si="0"/>
        <v>Section-Notes (SNT)</v>
      </c>
      <c r="B27" s="5"/>
      <c r="C27" s="5" t="s">
        <v>269</v>
      </c>
      <c r="D27" s="6" t="s">
        <v>412</v>
      </c>
      <c r="E27" s="5" t="s">
        <v>590</v>
      </c>
      <c r="F27" s="5">
        <v>24</v>
      </c>
      <c r="G27" s="5" t="b">
        <v>0</v>
      </c>
      <c r="H27" s="5">
        <v>1</v>
      </c>
      <c r="I27" s="5" t="s">
        <v>2</v>
      </c>
      <c r="J27" s="5">
        <v>11</v>
      </c>
      <c r="K27" s="5" t="b">
        <v>0</v>
      </c>
      <c r="L27" s="5" t="b">
        <v>0</v>
      </c>
      <c r="M27" s="35" t="s">
        <v>124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1</v>
      </c>
      <c r="AJ27" s="5" t="b">
        <v>1</v>
      </c>
      <c r="AK27" s="5" t="b">
        <v>0</v>
      </c>
      <c r="AL27" s="5" t="b">
        <v>0</v>
      </c>
      <c r="AM27" s="6" t="s">
        <v>66</v>
      </c>
      <c r="AN27" s="5">
        <v>0</v>
      </c>
      <c r="AO27" s="5">
        <v>6</v>
      </c>
      <c r="AP27" s="5" t="b">
        <v>1</v>
      </c>
      <c r="AQ27" s="58" t="s">
        <v>278</v>
      </c>
      <c r="AR27" s="5">
        <v>1</v>
      </c>
      <c r="AS27" s="5">
        <v>48</v>
      </c>
      <c r="AT27" s="5" t="b">
        <v>0</v>
      </c>
      <c r="AU27" s="6" t="s">
        <v>66</v>
      </c>
      <c r="AV27" s="5">
        <v>0</v>
      </c>
      <c r="AW27" s="5">
        <v>6</v>
      </c>
      <c r="AX27" s="5" t="b">
        <v>0</v>
      </c>
      <c r="AY27" s="6" t="s">
        <v>66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25" t="s">
        <v>81</v>
      </c>
      <c r="BG27" s="6"/>
      <c r="BH27" s="5"/>
      <c r="BI27" s="5"/>
      <c r="BJ27" s="6"/>
      <c r="BK27" s="5" t="s">
        <v>0</v>
      </c>
      <c r="BL27" s="5">
        <v>0</v>
      </c>
      <c r="BM27" s="5" t="b">
        <v>0</v>
      </c>
      <c r="CL27" s="8" t="s">
        <v>298</v>
      </c>
      <c r="CM27" s="8" t="s">
        <v>285</v>
      </c>
      <c r="CN27" s="8" t="s">
        <v>308</v>
      </c>
      <c r="CO27" s="57" t="str">
        <f t="shared" si="1"/>
        <v>.Section-NotesSNT</v>
      </c>
      <c r="CR27" s="8" t="b">
        <v>1</v>
      </c>
      <c r="CS27" s="8" t="b">
        <v>1</v>
      </c>
      <c r="CT27" s="8" t="b">
        <v>1</v>
      </c>
    </row>
    <row r="28" spans="1:98" x14ac:dyDescent="0.25">
      <c r="A28" s="71" t="str">
        <f t="shared" si="0"/>
        <v>Section-About-Author (SAA)</v>
      </c>
      <c r="B28" s="5"/>
      <c r="C28" s="5" t="s">
        <v>273</v>
      </c>
      <c r="D28" s="6" t="s">
        <v>413</v>
      </c>
      <c r="E28" s="5" t="s">
        <v>590</v>
      </c>
      <c r="F28" s="5">
        <v>25</v>
      </c>
      <c r="G28" s="5" t="b">
        <v>0</v>
      </c>
      <c r="H28" s="5">
        <v>1</v>
      </c>
      <c r="I28" s="5" t="s">
        <v>2</v>
      </c>
      <c r="J28" s="5">
        <v>11</v>
      </c>
      <c r="K28" s="5" t="b">
        <v>0</v>
      </c>
      <c r="L28" s="5" t="b">
        <v>0</v>
      </c>
      <c r="M28" s="35" t="s">
        <v>124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1</v>
      </c>
      <c r="AJ28" s="5" t="b">
        <v>1</v>
      </c>
      <c r="AK28" s="5" t="b">
        <v>0</v>
      </c>
      <c r="AL28" s="5" t="b">
        <v>0</v>
      </c>
      <c r="AM28" s="6" t="s">
        <v>66</v>
      </c>
      <c r="AN28" s="5">
        <v>0</v>
      </c>
      <c r="AO28" s="5">
        <v>6</v>
      </c>
      <c r="AP28" s="5" t="b">
        <v>1</v>
      </c>
      <c r="AQ28" s="58" t="s">
        <v>278</v>
      </c>
      <c r="AR28" s="5">
        <v>1</v>
      </c>
      <c r="AS28" s="5">
        <v>48</v>
      </c>
      <c r="AT28" s="5" t="b">
        <v>0</v>
      </c>
      <c r="AU28" s="6" t="s">
        <v>66</v>
      </c>
      <c r="AV28" s="5">
        <v>0</v>
      </c>
      <c r="AW28" s="5">
        <v>6</v>
      </c>
      <c r="AX28" s="5" t="b">
        <v>0</v>
      </c>
      <c r="AY28" s="6" t="s">
        <v>66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7" t="s">
        <v>67</v>
      </c>
      <c r="BG28" s="6"/>
      <c r="BH28" s="5"/>
      <c r="BI28" s="5"/>
      <c r="BJ28" s="6"/>
      <c r="BK28" s="5" t="s">
        <v>0</v>
      </c>
      <c r="BL28" s="5">
        <v>0</v>
      </c>
      <c r="BM28" s="5" t="b">
        <v>0</v>
      </c>
      <c r="CL28" s="8" t="s">
        <v>298</v>
      </c>
      <c r="CM28" s="8" t="s">
        <v>371</v>
      </c>
      <c r="CN28" s="8" t="s">
        <v>311</v>
      </c>
      <c r="CO28" s="57" t="str">
        <f t="shared" si="1"/>
        <v>.Section-About-AuthorSAA</v>
      </c>
      <c r="CR28" s="8" t="b">
        <v>1</v>
      </c>
      <c r="CS28" s="8" t="b">
        <v>1</v>
      </c>
      <c r="CT28" s="8" t="b">
        <v>1</v>
      </c>
    </row>
    <row r="29" spans="1:98" x14ac:dyDescent="0.25">
      <c r="A29" s="71" t="str">
        <f t="shared" si="0"/>
        <v>Section-Back-Ad (SBA)</v>
      </c>
      <c r="B29" s="5"/>
      <c r="C29" s="5" t="s">
        <v>274</v>
      </c>
      <c r="D29" s="6" t="s">
        <v>414</v>
      </c>
      <c r="E29" s="5" t="s">
        <v>589</v>
      </c>
      <c r="F29" s="5">
        <v>26</v>
      </c>
      <c r="G29" s="5" t="b">
        <v>0</v>
      </c>
      <c r="H29" s="5">
        <v>1</v>
      </c>
      <c r="I29" s="5" t="s">
        <v>2</v>
      </c>
      <c r="J29" s="5">
        <v>11</v>
      </c>
      <c r="K29" s="5" t="b">
        <v>0</v>
      </c>
      <c r="L29" s="5" t="b">
        <v>0</v>
      </c>
      <c r="M29" s="35" t="s">
        <v>124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66</v>
      </c>
      <c r="AN29" s="5">
        <v>0</v>
      </c>
      <c r="AO29" s="5">
        <v>6</v>
      </c>
      <c r="AP29" s="5" t="b">
        <v>1</v>
      </c>
      <c r="AQ29" s="58" t="s">
        <v>278</v>
      </c>
      <c r="AR29" s="5">
        <v>1</v>
      </c>
      <c r="AS29" s="5">
        <v>48</v>
      </c>
      <c r="AT29" s="5" t="b">
        <v>0</v>
      </c>
      <c r="AU29" s="6" t="s">
        <v>66</v>
      </c>
      <c r="AV29" s="5">
        <v>0</v>
      </c>
      <c r="AW29" s="5">
        <v>6</v>
      </c>
      <c r="AX29" s="5" t="b">
        <v>0</v>
      </c>
      <c r="AY29" s="6" t="s">
        <v>66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9" t="s">
        <v>68</v>
      </c>
      <c r="BG29" s="6"/>
      <c r="BH29" s="5"/>
      <c r="BI29" s="5"/>
      <c r="BJ29" s="6"/>
      <c r="BK29" s="5" t="s">
        <v>0</v>
      </c>
      <c r="BL29" s="5">
        <v>0</v>
      </c>
      <c r="BM29" s="5" t="b">
        <v>0</v>
      </c>
      <c r="CL29" s="8" t="s">
        <v>298</v>
      </c>
      <c r="CM29" s="8" t="s">
        <v>372</v>
      </c>
      <c r="CN29" s="8" t="s">
        <v>381</v>
      </c>
      <c r="CO29" s="57" t="str">
        <f t="shared" si="1"/>
        <v>.Section-Back-AdSBA</v>
      </c>
      <c r="CR29" s="8" t="b">
        <v>1</v>
      </c>
      <c r="CS29" s="8" t="b">
        <v>1</v>
      </c>
      <c r="CT29" s="8" t="b">
        <v>1</v>
      </c>
    </row>
    <row r="30" spans="1:98" x14ac:dyDescent="0.25">
      <c r="A30" s="71" t="str">
        <f t="shared" si="0"/>
        <v>Section-Index (SIN)</v>
      </c>
      <c r="B30" s="5"/>
      <c r="C30" s="5" t="s">
        <v>275</v>
      </c>
      <c r="D30" s="6" t="s">
        <v>415</v>
      </c>
      <c r="E30" s="5" t="s">
        <v>590</v>
      </c>
      <c r="F30" s="5">
        <v>27</v>
      </c>
      <c r="G30" s="5" t="b">
        <v>0</v>
      </c>
      <c r="H30" s="5">
        <v>1</v>
      </c>
      <c r="I30" s="5" t="s">
        <v>2</v>
      </c>
      <c r="J30" s="5">
        <v>11</v>
      </c>
      <c r="K30" s="5" t="b">
        <v>0</v>
      </c>
      <c r="L30" s="5" t="b">
        <v>0</v>
      </c>
      <c r="M30" s="35" t="s">
        <v>124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66</v>
      </c>
      <c r="AN30" s="5">
        <v>0</v>
      </c>
      <c r="AO30" s="5">
        <v>6</v>
      </c>
      <c r="AP30" s="5" t="b">
        <v>1</v>
      </c>
      <c r="AQ30" s="58" t="s">
        <v>278</v>
      </c>
      <c r="AR30" s="5">
        <v>1</v>
      </c>
      <c r="AS30" s="5">
        <v>48</v>
      </c>
      <c r="AT30" s="5" t="b">
        <v>0</v>
      </c>
      <c r="AU30" s="6" t="s">
        <v>66</v>
      </c>
      <c r="AV30" s="5">
        <v>0</v>
      </c>
      <c r="AW30" s="5">
        <v>6</v>
      </c>
      <c r="AX30" s="5" t="b">
        <v>0</v>
      </c>
      <c r="AY30" s="6" t="s">
        <v>66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32" t="s">
        <v>83</v>
      </c>
      <c r="BG30" s="6"/>
      <c r="BH30" s="5"/>
      <c r="BI30" s="5"/>
      <c r="BJ30" s="6"/>
      <c r="BK30" s="5" t="s">
        <v>0</v>
      </c>
      <c r="BL30" s="5">
        <v>0</v>
      </c>
      <c r="BM30" s="5" t="b">
        <v>0</v>
      </c>
      <c r="CL30" s="8" t="s">
        <v>303</v>
      </c>
      <c r="CO30" s="57" t="str">
        <f t="shared" si="1"/>
        <v>.Section-IndexSIN</v>
      </c>
      <c r="CR30" s="8" t="b">
        <v>1</v>
      </c>
      <c r="CS30" s="8" t="b">
        <v>1</v>
      </c>
      <c r="CT30" s="8" t="b">
        <v>1</v>
      </c>
    </row>
    <row r="31" spans="1:98" x14ac:dyDescent="0.25">
      <c r="A31" s="71" t="str">
        <f t="shared" si="0"/>
        <v>Section-Blank-Page (SBL)</v>
      </c>
      <c r="B31" s="5"/>
      <c r="C31" s="5" t="s">
        <v>259</v>
      </c>
      <c r="D31" s="6" t="s">
        <v>387</v>
      </c>
      <c r="E31" s="5" t="s">
        <v>591</v>
      </c>
      <c r="F31" s="5">
        <v>28</v>
      </c>
      <c r="G31" s="5" t="b">
        <v>0</v>
      </c>
      <c r="H31" s="5">
        <v>1</v>
      </c>
      <c r="I31" s="5" t="s">
        <v>2</v>
      </c>
      <c r="J31" s="5">
        <v>11</v>
      </c>
      <c r="K31" s="5" t="b">
        <v>0</v>
      </c>
      <c r="L31" s="5" t="b">
        <v>0</v>
      </c>
      <c r="M31" s="6" t="s">
        <v>66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66</v>
      </c>
      <c r="AN31" s="5">
        <v>0</v>
      </c>
      <c r="AO31" s="5">
        <v>6</v>
      </c>
      <c r="AP31" s="5" t="b">
        <v>1</v>
      </c>
      <c r="AQ31" s="58" t="s">
        <v>278</v>
      </c>
      <c r="AR31" s="5">
        <v>1</v>
      </c>
      <c r="AS31" s="5">
        <v>48</v>
      </c>
      <c r="AT31" s="5" t="b">
        <v>0</v>
      </c>
      <c r="AU31" s="6" t="s">
        <v>66</v>
      </c>
      <c r="AV31" s="5">
        <v>0</v>
      </c>
      <c r="AW31" s="5">
        <v>6</v>
      </c>
      <c r="AX31" s="5" t="b">
        <v>0</v>
      </c>
      <c r="AY31" s="6" t="s">
        <v>66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19" t="s">
        <v>118</v>
      </c>
      <c r="BG31" s="6"/>
      <c r="BH31" s="5"/>
      <c r="BI31" s="5"/>
      <c r="BJ31" s="6"/>
      <c r="BK31" s="5" t="s">
        <v>0</v>
      </c>
      <c r="BL31" s="5">
        <v>0</v>
      </c>
      <c r="BM31" s="5" t="b">
        <v>0</v>
      </c>
      <c r="CL31" s="8" t="s">
        <v>288</v>
      </c>
      <c r="CN31" s="8" t="s">
        <v>366</v>
      </c>
      <c r="CO31" s="57" t="str">
        <f t="shared" si="1"/>
        <v>.Section-Blank-PageSBL</v>
      </c>
      <c r="CR31" s="8" t="b">
        <v>1</v>
      </c>
      <c r="CS31" s="8" t="b">
        <v>1</v>
      </c>
      <c r="CT31" s="8" t="b">
        <v>1</v>
      </c>
    </row>
    <row r="32" spans="1:98" x14ac:dyDescent="0.25">
      <c r="A32" s="71" t="str">
        <f t="shared" si="0"/>
        <v>Number (Num)</v>
      </c>
      <c r="C32" s="8" t="s">
        <v>416</v>
      </c>
      <c r="D32" s="6" t="s">
        <v>417</v>
      </c>
      <c r="E32" s="5" t="s">
        <v>589</v>
      </c>
      <c r="F32" s="5">
        <v>29</v>
      </c>
      <c r="G32" s="5" t="b">
        <v>1</v>
      </c>
      <c r="H32" s="5">
        <v>1</v>
      </c>
      <c r="I32" s="5" t="s">
        <v>2</v>
      </c>
      <c r="J32" s="5">
        <v>14</v>
      </c>
      <c r="K32" s="8" t="b">
        <v>0</v>
      </c>
      <c r="L32" s="5" t="b">
        <v>0</v>
      </c>
      <c r="M32" s="6" t="s">
        <v>66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8">
        <v>0</v>
      </c>
      <c r="AB32" s="8">
        <v>0</v>
      </c>
      <c r="AC32" s="8">
        <v>6</v>
      </c>
      <c r="AD32" s="8">
        <v>6</v>
      </c>
      <c r="AE32" s="8">
        <v>2</v>
      </c>
      <c r="AF32" s="8">
        <v>24</v>
      </c>
      <c r="AG32" s="8">
        <v>1</v>
      </c>
      <c r="AH32" s="8">
        <v>0</v>
      </c>
      <c r="AI32" s="5">
        <v>3</v>
      </c>
      <c r="AJ32" s="8" t="b">
        <v>0</v>
      </c>
      <c r="AK32" s="5" t="b">
        <v>0</v>
      </c>
      <c r="AL32" s="5" t="b">
        <v>0</v>
      </c>
      <c r="AM32" s="6" t="s">
        <v>66</v>
      </c>
      <c r="AN32" s="5">
        <v>0</v>
      </c>
      <c r="AO32" s="5">
        <v>6</v>
      </c>
      <c r="AP32" s="5" t="b">
        <v>1</v>
      </c>
      <c r="AQ32" s="24" t="s">
        <v>109</v>
      </c>
      <c r="AR32" s="5">
        <v>1</v>
      </c>
      <c r="AS32" s="5">
        <v>48</v>
      </c>
      <c r="AT32" s="5" t="b">
        <v>0</v>
      </c>
      <c r="AU32" s="6" t="s">
        <v>66</v>
      </c>
      <c r="AV32" s="5">
        <v>0</v>
      </c>
      <c r="AW32" s="5">
        <v>6</v>
      </c>
      <c r="AX32" s="5" t="b">
        <v>0</v>
      </c>
      <c r="AY32" s="6" t="s">
        <v>66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42" t="s">
        <v>66</v>
      </c>
      <c r="BG32" s="6"/>
      <c r="BH32" s="5"/>
      <c r="BI32" s="5"/>
      <c r="BJ32" s="5"/>
      <c r="BK32" s="5" t="s">
        <v>0</v>
      </c>
      <c r="BL32" s="5">
        <v>0</v>
      </c>
      <c r="BM32" s="5" t="b">
        <v>0</v>
      </c>
      <c r="BT32" s="8" t="b">
        <v>1</v>
      </c>
      <c r="CO32" s="57" t="str">
        <f t="shared" si="1"/>
        <v>.NumberNum</v>
      </c>
    </row>
    <row r="33" spans="1:96" x14ac:dyDescent="0.25">
      <c r="A33" s="71" t="str">
        <f t="shared" si="0"/>
        <v>Title (Tit)</v>
      </c>
      <c r="C33" s="8" t="s">
        <v>418</v>
      </c>
      <c r="D33" s="8" t="s">
        <v>419</v>
      </c>
      <c r="E33" s="8" t="s">
        <v>593</v>
      </c>
      <c r="F33" s="5">
        <v>30</v>
      </c>
      <c r="G33" s="8" t="b">
        <v>1</v>
      </c>
      <c r="H33" s="5">
        <v>1</v>
      </c>
      <c r="I33" s="5" t="s">
        <v>1</v>
      </c>
      <c r="J33" s="5">
        <v>24</v>
      </c>
      <c r="K33" s="8" t="b">
        <v>0</v>
      </c>
      <c r="L33" s="5" t="b">
        <v>0</v>
      </c>
      <c r="M33" s="6" t="s">
        <v>66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X33" s="5" t="b">
        <v>0</v>
      </c>
      <c r="Y33" s="5" t="b">
        <v>0</v>
      </c>
      <c r="Z33" s="5" t="b">
        <v>0</v>
      </c>
      <c r="AA33" s="8">
        <v>0</v>
      </c>
      <c r="AB33" s="8">
        <v>0</v>
      </c>
      <c r="AC33" s="8">
        <v>6</v>
      </c>
      <c r="AD33" s="8">
        <v>6</v>
      </c>
      <c r="AE33" s="8">
        <v>2</v>
      </c>
      <c r="AF33" s="8">
        <v>24</v>
      </c>
      <c r="AG33" s="8">
        <v>1</v>
      </c>
      <c r="AH33" s="8">
        <v>0</v>
      </c>
      <c r="AI33" s="8">
        <v>3</v>
      </c>
      <c r="AJ33" s="8" t="b">
        <v>0</v>
      </c>
      <c r="AK33" s="5" t="b">
        <v>0</v>
      </c>
      <c r="AL33" s="5" t="b">
        <v>0</v>
      </c>
      <c r="AM33" s="6" t="s">
        <v>66</v>
      </c>
      <c r="AN33" s="5">
        <v>0</v>
      </c>
      <c r="AO33" s="5">
        <v>6</v>
      </c>
      <c r="AP33" s="5" t="b">
        <v>1</v>
      </c>
      <c r="AQ33" s="24" t="s">
        <v>109</v>
      </c>
      <c r="AR33" s="5">
        <v>1</v>
      </c>
      <c r="AS33" s="5">
        <v>48</v>
      </c>
      <c r="AT33" s="5" t="b">
        <v>0</v>
      </c>
      <c r="AU33" s="6" t="s">
        <v>66</v>
      </c>
      <c r="AV33" s="5">
        <v>0</v>
      </c>
      <c r="AW33" s="5">
        <v>6</v>
      </c>
      <c r="AX33" s="5" t="b">
        <v>0</v>
      </c>
      <c r="AY33" s="6" t="s">
        <v>66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42" t="s">
        <v>66</v>
      </c>
      <c r="BJ33" s="70"/>
      <c r="BK33" s="5" t="s">
        <v>0</v>
      </c>
      <c r="BL33" s="5">
        <v>0</v>
      </c>
      <c r="BM33" s="5" t="b">
        <v>0</v>
      </c>
      <c r="BT33" s="8" t="b">
        <v>1</v>
      </c>
      <c r="CO33" s="64" t="str">
        <f t="shared" ref="CO33:CO64" si="2">"."&amp;SUBSTITUTE(SUBSTITUTE(SUBSTITUTE(SUBSTITUTE(A33, "(",""),")","")," ",""),"#","")</f>
        <v>.TitleTit</v>
      </c>
    </row>
    <row r="34" spans="1:96" x14ac:dyDescent="0.25">
      <c r="A34" s="71" t="str">
        <f t="shared" si="0"/>
        <v>Main-Head (Mh)</v>
      </c>
      <c r="C34" s="8" t="s">
        <v>420</v>
      </c>
      <c r="D34" s="8" t="s">
        <v>421</v>
      </c>
      <c r="E34" s="8" t="s">
        <v>593</v>
      </c>
      <c r="F34" s="5">
        <v>31</v>
      </c>
      <c r="G34" s="8" t="b">
        <v>1</v>
      </c>
      <c r="H34" s="5">
        <v>1</v>
      </c>
      <c r="I34" s="5" t="s">
        <v>2</v>
      </c>
      <c r="J34" s="5">
        <v>20</v>
      </c>
      <c r="K34" s="8" t="b">
        <v>0</v>
      </c>
      <c r="L34" s="5" t="b">
        <v>0</v>
      </c>
      <c r="M34" s="6" t="s">
        <v>66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X34" s="5" t="b">
        <v>0</v>
      </c>
      <c r="Y34" s="5" t="b">
        <v>0</v>
      </c>
      <c r="Z34" s="5" t="b">
        <v>0</v>
      </c>
      <c r="AA34" s="8">
        <v>0</v>
      </c>
      <c r="AB34" s="8">
        <v>0</v>
      </c>
      <c r="AC34" s="8">
        <v>6</v>
      </c>
      <c r="AD34" s="8">
        <v>6</v>
      </c>
      <c r="AE34" s="8">
        <v>2</v>
      </c>
      <c r="AF34" s="8">
        <v>24</v>
      </c>
      <c r="AG34" s="8">
        <v>1</v>
      </c>
      <c r="AH34" s="8">
        <v>0</v>
      </c>
      <c r="AI34" s="8">
        <v>3</v>
      </c>
      <c r="AJ34" s="8" t="b">
        <v>0</v>
      </c>
      <c r="AK34" s="5" t="b">
        <v>0</v>
      </c>
      <c r="AL34" s="5" t="b">
        <v>0</v>
      </c>
      <c r="AM34" s="6" t="s">
        <v>66</v>
      </c>
      <c r="AN34" s="5">
        <v>0</v>
      </c>
      <c r="AO34" s="5">
        <v>6</v>
      </c>
      <c r="AP34" s="5" t="b">
        <v>1</v>
      </c>
      <c r="AQ34" s="24" t="s">
        <v>109</v>
      </c>
      <c r="AR34" s="5">
        <v>1</v>
      </c>
      <c r="AS34" s="5">
        <v>48</v>
      </c>
      <c r="AT34" s="5" t="b">
        <v>0</v>
      </c>
      <c r="AU34" s="6" t="s">
        <v>66</v>
      </c>
      <c r="AV34" s="5">
        <v>0</v>
      </c>
      <c r="AW34" s="5">
        <v>6</v>
      </c>
      <c r="AX34" s="5" t="b">
        <v>0</v>
      </c>
      <c r="AY34" s="6" t="s">
        <v>66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42" t="s">
        <v>66</v>
      </c>
      <c r="BJ34" s="70"/>
      <c r="BK34" s="5" t="s">
        <v>0</v>
      </c>
      <c r="BL34" s="5">
        <v>0</v>
      </c>
      <c r="BM34" s="5" t="b">
        <v>0</v>
      </c>
      <c r="BT34" s="8" t="b">
        <v>1</v>
      </c>
      <c r="CO34" s="64" t="str">
        <f t="shared" si="2"/>
        <v>.Main-HeadMh</v>
      </c>
    </row>
    <row r="35" spans="1:96" x14ac:dyDescent="0.25">
      <c r="A35" s="71" t="str">
        <f t="shared" si="0"/>
        <v>Subtitle (St)</v>
      </c>
      <c r="C35" s="8" t="s">
        <v>422</v>
      </c>
      <c r="D35" s="8" t="s">
        <v>423</v>
      </c>
      <c r="E35" s="8" t="s">
        <v>593</v>
      </c>
      <c r="F35" s="5">
        <v>32</v>
      </c>
      <c r="G35" s="8" t="b">
        <v>0</v>
      </c>
      <c r="H35" s="5">
        <v>1</v>
      </c>
      <c r="I35" s="5" t="s">
        <v>69</v>
      </c>
      <c r="J35" s="5">
        <v>18</v>
      </c>
      <c r="K35" s="8" t="b">
        <v>0</v>
      </c>
      <c r="L35" s="5" t="b">
        <v>0</v>
      </c>
      <c r="M35" s="6" t="s">
        <v>66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X35" s="5" t="b">
        <v>1</v>
      </c>
      <c r="Y35" s="5" t="b">
        <v>0</v>
      </c>
      <c r="Z35" s="5" t="b">
        <v>0</v>
      </c>
      <c r="AA35" s="8">
        <v>0</v>
      </c>
      <c r="AB35" s="8">
        <v>0</v>
      </c>
      <c r="AC35" s="8">
        <v>6</v>
      </c>
      <c r="AD35" s="8">
        <v>6</v>
      </c>
      <c r="AE35" s="8">
        <v>2</v>
      </c>
      <c r="AF35" s="8">
        <v>24</v>
      </c>
      <c r="AG35" s="8">
        <v>1</v>
      </c>
      <c r="AH35" s="8">
        <v>0</v>
      </c>
      <c r="AI35" s="8">
        <v>10</v>
      </c>
      <c r="AJ35" s="8" t="b">
        <v>0</v>
      </c>
      <c r="AK35" s="5" t="b">
        <v>0</v>
      </c>
      <c r="AL35" s="5" t="b">
        <v>0</v>
      </c>
      <c r="AM35" s="6" t="s">
        <v>66</v>
      </c>
      <c r="AN35" s="5">
        <v>0</v>
      </c>
      <c r="AO35" s="5">
        <v>6</v>
      </c>
      <c r="AP35" s="5" t="b">
        <v>1</v>
      </c>
      <c r="AQ35" s="24" t="s">
        <v>109</v>
      </c>
      <c r="AR35" s="5">
        <v>1</v>
      </c>
      <c r="AS35" s="5">
        <v>48</v>
      </c>
      <c r="AT35" s="5" t="b">
        <v>0</v>
      </c>
      <c r="AU35" s="6" t="s">
        <v>66</v>
      </c>
      <c r="AV35" s="5">
        <v>0</v>
      </c>
      <c r="AW35" s="5">
        <v>6</v>
      </c>
      <c r="AX35" s="5" t="b">
        <v>0</v>
      </c>
      <c r="AY35" s="6" t="s">
        <v>66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42" t="s">
        <v>66</v>
      </c>
      <c r="BJ35" s="70"/>
      <c r="BK35" s="5" t="s">
        <v>0</v>
      </c>
      <c r="BL35" s="5">
        <v>0</v>
      </c>
      <c r="BM35" s="5" t="b">
        <v>0</v>
      </c>
      <c r="CO35" s="64" t="str">
        <f t="shared" si="2"/>
        <v>.SubtitleSt</v>
      </c>
    </row>
    <row r="36" spans="1:96" x14ac:dyDescent="0.25">
      <c r="A36" s="71" t="str">
        <f t="shared" si="0"/>
        <v>Author (Au)</v>
      </c>
      <c r="C36" s="8" t="s">
        <v>424</v>
      </c>
      <c r="D36" s="8" t="s">
        <v>425</v>
      </c>
      <c r="E36" s="8" t="s">
        <v>593</v>
      </c>
      <c r="F36" s="5">
        <v>33</v>
      </c>
      <c r="G36" s="8" t="b">
        <v>0</v>
      </c>
      <c r="H36" s="5">
        <v>1</v>
      </c>
      <c r="I36" s="5" t="s">
        <v>69</v>
      </c>
      <c r="J36" s="5">
        <v>14</v>
      </c>
      <c r="K36" s="8" t="b">
        <v>0</v>
      </c>
      <c r="L36" s="5" t="b">
        <v>0</v>
      </c>
      <c r="M36" s="6" t="s">
        <v>66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X36" s="5" t="b">
        <v>1</v>
      </c>
      <c r="Y36" s="5" t="b">
        <v>0</v>
      </c>
      <c r="Z36" s="5" t="b">
        <v>0</v>
      </c>
      <c r="AA36" s="8">
        <v>0</v>
      </c>
      <c r="AB36" s="8">
        <v>0</v>
      </c>
      <c r="AC36" s="8">
        <v>6</v>
      </c>
      <c r="AD36" s="8">
        <v>6</v>
      </c>
      <c r="AE36" s="8">
        <v>2</v>
      </c>
      <c r="AF36" s="8">
        <v>24</v>
      </c>
      <c r="AG36" s="8">
        <v>1</v>
      </c>
      <c r="AH36" s="8">
        <v>0</v>
      </c>
      <c r="AI36" s="8">
        <v>10</v>
      </c>
      <c r="AJ36" s="8" t="b">
        <v>0</v>
      </c>
      <c r="AK36" s="5" t="b">
        <v>0</v>
      </c>
      <c r="AL36" s="5" t="b">
        <v>0</v>
      </c>
      <c r="AM36" s="6" t="s">
        <v>66</v>
      </c>
      <c r="AN36" s="5">
        <v>0</v>
      </c>
      <c r="AO36" s="5">
        <v>6</v>
      </c>
      <c r="AP36" s="5" t="b">
        <v>1</v>
      </c>
      <c r="AQ36" s="24" t="s">
        <v>109</v>
      </c>
      <c r="AR36" s="5">
        <v>1</v>
      </c>
      <c r="AS36" s="5">
        <v>48</v>
      </c>
      <c r="AT36" s="5" t="b">
        <v>0</v>
      </c>
      <c r="AU36" s="6" t="s">
        <v>66</v>
      </c>
      <c r="AV36" s="5">
        <v>0</v>
      </c>
      <c r="AW36" s="5">
        <v>6</v>
      </c>
      <c r="AX36" s="5" t="b">
        <v>0</v>
      </c>
      <c r="AY36" s="6" t="s">
        <v>66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42" t="s">
        <v>66</v>
      </c>
      <c r="BJ36" s="70"/>
      <c r="BK36" s="5" t="s">
        <v>0</v>
      </c>
      <c r="BL36" s="5">
        <v>0</v>
      </c>
      <c r="BM36" s="5" t="b">
        <v>0</v>
      </c>
      <c r="CO36" s="64" t="str">
        <f t="shared" si="2"/>
        <v>.AuthorAu</v>
      </c>
    </row>
    <row r="37" spans="1:96" x14ac:dyDescent="0.25">
      <c r="A37" s="71" t="str">
        <f t="shared" si="0"/>
        <v>Headnote (Hn)</v>
      </c>
      <c r="C37" s="8" t="s">
        <v>426</v>
      </c>
      <c r="D37" s="8" t="s">
        <v>427</v>
      </c>
      <c r="E37" s="5" t="s">
        <v>590</v>
      </c>
      <c r="F37" s="5">
        <v>34</v>
      </c>
      <c r="G37" s="8" t="b">
        <v>0</v>
      </c>
      <c r="H37" s="5">
        <v>1</v>
      </c>
      <c r="I37" s="5" t="s">
        <v>69</v>
      </c>
      <c r="J37" s="5">
        <v>11</v>
      </c>
      <c r="K37" s="8" t="b">
        <v>0</v>
      </c>
      <c r="L37" s="5" t="b">
        <v>0</v>
      </c>
      <c r="M37" s="6" t="s">
        <v>66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X37" s="5" t="b">
        <v>0</v>
      </c>
      <c r="Y37" s="5" t="b">
        <v>0</v>
      </c>
      <c r="Z37" s="5" t="b">
        <v>0</v>
      </c>
      <c r="AA37" s="8">
        <v>0</v>
      </c>
      <c r="AB37" s="8">
        <v>0</v>
      </c>
      <c r="AC37" s="8">
        <v>6</v>
      </c>
      <c r="AD37" s="8">
        <v>6</v>
      </c>
      <c r="AE37" s="8">
        <v>2</v>
      </c>
      <c r="AF37" s="8">
        <v>24</v>
      </c>
      <c r="AG37" s="8">
        <v>0</v>
      </c>
      <c r="AH37" s="8">
        <v>36</v>
      </c>
      <c r="AI37" s="8">
        <v>10</v>
      </c>
      <c r="AJ37" s="8" t="b">
        <v>0</v>
      </c>
      <c r="AK37" s="5" t="b">
        <v>0</v>
      </c>
      <c r="AL37" s="5" t="b">
        <v>0</v>
      </c>
      <c r="AM37" s="6" t="s">
        <v>66</v>
      </c>
      <c r="AN37" s="5">
        <v>0</v>
      </c>
      <c r="AO37" s="5">
        <v>6</v>
      </c>
      <c r="AP37" s="5" t="b">
        <v>1</v>
      </c>
      <c r="AQ37" s="24" t="s">
        <v>109</v>
      </c>
      <c r="AR37" s="5">
        <v>1</v>
      </c>
      <c r="AS37" s="5">
        <v>48</v>
      </c>
      <c r="AT37" s="5" t="b">
        <v>0</v>
      </c>
      <c r="AU37" s="6" t="s">
        <v>66</v>
      </c>
      <c r="AV37" s="5">
        <v>0</v>
      </c>
      <c r="AW37" s="5">
        <v>6</v>
      </c>
      <c r="AX37" s="5" t="b">
        <v>0</v>
      </c>
      <c r="AY37" s="6" t="s">
        <v>66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42" t="s">
        <v>66</v>
      </c>
      <c r="BJ37" s="70"/>
      <c r="BK37" s="5" t="s">
        <v>0</v>
      </c>
      <c r="BL37" s="5">
        <v>0</v>
      </c>
      <c r="BM37" s="5" t="b">
        <v>0</v>
      </c>
      <c r="CO37" s="64" t="str">
        <f t="shared" si="2"/>
        <v>.HeadnoteHn</v>
      </c>
    </row>
    <row r="38" spans="1:96" x14ac:dyDescent="0.25">
      <c r="A38" s="71" t="str">
        <f t="shared" si="0"/>
        <v>A-Head (H-A)</v>
      </c>
      <c r="C38" s="8" t="s">
        <v>428</v>
      </c>
      <c r="D38" s="8" t="s">
        <v>429</v>
      </c>
      <c r="E38" s="8" t="s">
        <v>593</v>
      </c>
      <c r="F38" s="5">
        <v>35</v>
      </c>
      <c r="G38" s="8" t="b">
        <v>1</v>
      </c>
      <c r="H38" s="5">
        <v>1</v>
      </c>
      <c r="I38" s="5" t="s">
        <v>2</v>
      </c>
      <c r="J38" s="5">
        <v>16</v>
      </c>
      <c r="K38" s="8" t="b">
        <v>0</v>
      </c>
      <c r="L38" s="5" t="b">
        <v>0</v>
      </c>
      <c r="M38" s="6" t="s">
        <v>66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X38" s="5" t="b">
        <v>0</v>
      </c>
      <c r="Y38" s="5" t="b">
        <v>0</v>
      </c>
      <c r="Z38" s="5" t="b">
        <v>0</v>
      </c>
      <c r="AA38" s="8">
        <v>0</v>
      </c>
      <c r="AB38" s="8">
        <v>0</v>
      </c>
      <c r="AC38" s="8">
        <v>6</v>
      </c>
      <c r="AD38" s="8">
        <v>6</v>
      </c>
      <c r="AE38" s="8">
        <v>2</v>
      </c>
      <c r="AF38" s="8">
        <v>24</v>
      </c>
      <c r="AG38" s="8">
        <v>0</v>
      </c>
      <c r="AH38" s="8">
        <v>0</v>
      </c>
      <c r="AI38" s="8">
        <v>4</v>
      </c>
      <c r="AJ38" s="8" t="b">
        <v>0</v>
      </c>
      <c r="AK38" s="5" t="b">
        <v>0</v>
      </c>
      <c r="AL38" s="5" t="b">
        <v>0</v>
      </c>
      <c r="AM38" s="6" t="s">
        <v>66</v>
      </c>
      <c r="AN38" s="5">
        <v>0</v>
      </c>
      <c r="AO38" s="5">
        <v>6</v>
      </c>
      <c r="AP38" s="5" t="b">
        <v>1</v>
      </c>
      <c r="AQ38" s="24" t="s">
        <v>109</v>
      </c>
      <c r="AR38" s="5">
        <v>1</v>
      </c>
      <c r="AS38" s="5">
        <v>48</v>
      </c>
      <c r="AT38" s="5" t="b">
        <v>0</v>
      </c>
      <c r="AU38" s="6" t="s">
        <v>66</v>
      </c>
      <c r="AV38" s="5">
        <v>0</v>
      </c>
      <c r="AW38" s="5">
        <v>6</v>
      </c>
      <c r="AX38" s="5" t="b">
        <v>0</v>
      </c>
      <c r="AY38" s="6" t="s">
        <v>66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42" t="s">
        <v>66</v>
      </c>
      <c r="BJ38" s="70"/>
      <c r="BK38" s="5" t="s">
        <v>0</v>
      </c>
      <c r="BL38" s="5">
        <v>0</v>
      </c>
      <c r="BM38" s="5" t="b">
        <v>0</v>
      </c>
      <c r="BT38" s="8" t="b">
        <v>1</v>
      </c>
      <c r="CO38" s="64" t="str">
        <f t="shared" si="2"/>
        <v>.A-HeadH-A</v>
      </c>
    </row>
    <row r="39" spans="1:96" x14ac:dyDescent="0.25">
      <c r="A39" s="71" t="str">
        <f t="shared" si="0"/>
        <v>B-Head (H-B)</v>
      </c>
      <c r="C39" s="8" t="s">
        <v>430</v>
      </c>
      <c r="D39" s="8" t="s">
        <v>431</v>
      </c>
      <c r="E39" s="8" t="s">
        <v>593</v>
      </c>
      <c r="F39" s="5">
        <v>36</v>
      </c>
      <c r="G39" s="8" t="b">
        <v>1</v>
      </c>
      <c r="H39" s="5">
        <v>1</v>
      </c>
      <c r="I39" s="5" t="s">
        <v>1</v>
      </c>
      <c r="J39" s="5">
        <v>16</v>
      </c>
      <c r="K39" s="8" t="b">
        <v>0</v>
      </c>
      <c r="L39" s="5" t="b">
        <v>0</v>
      </c>
      <c r="M39" s="6" t="s">
        <v>66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0</v>
      </c>
      <c r="Y39" s="5" t="b">
        <v>0</v>
      </c>
      <c r="Z39" s="5" t="b">
        <v>0</v>
      </c>
      <c r="AA39" s="8">
        <v>0</v>
      </c>
      <c r="AB39" s="8">
        <v>0</v>
      </c>
      <c r="AC39" s="8">
        <v>6</v>
      </c>
      <c r="AD39" s="8">
        <v>6</v>
      </c>
      <c r="AE39" s="8">
        <v>2</v>
      </c>
      <c r="AF39" s="8">
        <v>24</v>
      </c>
      <c r="AG39" s="8">
        <v>0</v>
      </c>
      <c r="AH39" s="8">
        <v>0</v>
      </c>
      <c r="AI39" s="8">
        <v>5</v>
      </c>
      <c r="AJ39" s="8" t="b">
        <v>0</v>
      </c>
      <c r="AK39" s="5" t="b">
        <v>0</v>
      </c>
      <c r="AL39" s="5" t="b">
        <v>0</v>
      </c>
      <c r="AM39" s="6" t="s">
        <v>66</v>
      </c>
      <c r="AN39" s="5">
        <v>0</v>
      </c>
      <c r="AO39" s="5">
        <v>6</v>
      </c>
      <c r="AP39" s="5" t="b">
        <v>1</v>
      </c>
      <c r="AQ39" s="24" t="s">
        <v>109</v>
      </c>
      <c r="AR39" s="5">
        <v>1</v>
      </c>
      <c r="AS39" s="5">
        <v>48</v>
      </c>
      <c r="AT39" s="5" t="b">
        <v>0</v>
      </c>
      <c r="AU39" s="6" t="s">
        <v>66</v>
      </c>
      <c r="AV39" s="5">
        <v>0</v>
      </c>
      <c r="AW39" s="5">
        <v>6</v>
      </c>
      <c r="AX39" s="5" t="b">
        <v>0</v>
      </c>
      <c r="AY39" s="6" t="s">
        <v>66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42" t="s">
        <v>66</v>
      </c>
      <c r="BJ39" s="70"/>
      <c r="BK39" s="5" t="s">
        <v>0</v>
      </c>
      <c r="BL39" s="5">
        <v>0</v>
      </c>
      <c r="BM39" s="5" t="b">
        <v>0</v>
      </c>
      <c r="BT39" s="8" t="b">
        <v>1</v>
      </c>
      <c r="CO39" s="64" t="str">
        <f t="shared" si="2"/>
        <v>.B-HeadH-B</v>
      </c>
    </row>
    <row r="40" spans="1:96" x14ac:dyDescent="0.25">
      <c r="A40" s="71" t="str">
        <f t="shared" si="0"/>
        <v>C-Head (H-C)</v>
      </c>
      <c r="C40" s="8" t="s">
        <v>432</v>
      </c>
      <c r="D40" s="8" t="s">
        <v>433</v>
      </c>
      <c r="E40" s="8" t="s">
        <v>593</v>
      </c>
      <c r="F40" s="5">
        <v>37</v>
      </c>
      <c r="G40" s="8" t="b">
        <v>0</v>
      </c>
      <c r="H40" s="5">
        <v>1</v>
      </c>
      <c r="I40" s="5" t="s">
        <v>71</v>
      </c>
      <c r="J40" s="5">
        <v>16</v>
      </c>
      <c r="K40" s="8" t="b">
        <v>0</v>
      </c>
      <c r="L40" s="5" t="b">
        <v>0</v>
      </c>
      <c r="M40" s="6" t="s">
        <v>66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0</v>
      </c>
      <c r="Y40" s="5" t="b">
        <v>0</v>
      </c>
      <c r="Z40" s="5" t="b">
        <v>0</v>
      </c>
      <c r="AA40" s="8">
        <v>0</v>
      </c>
      <c r="AB40" s="8">
        <v>0</v>
      </c>
      <c r="AC40" s="8">
        <v>6</v>
      </c>
      <c r="AD40" s="8">
        <v>6</v>
      </c>
      <c r="AE40" s="8">
        <v>2</v>
      </c>
      <c r="AF40" s="8">
        <v>24</v>
      </c>
      <c r="AG40" s="8">
        <v>0</v>
      </c>
      <c r="AH40" s="8">
        <v>0</v>
      </c>
      <c r="AI40" s="8">
        <v>6</v>
      </c>
      <c r="AJ40" s="8" t="b">
        <v>0</v>
      </c>
      <c r="AK40" s="5" t="b">
        <v>0</v>
      </c>
      <c r="AL40" s="5" t="b">
        <v>0</v>
      </c>
      <c r="AM40" s="6" t="s">
        <v>66</v>
      </c>
      <c r="AN40" s="5">
        <v>0</v>
      </c>
      <c r="AO40" s="5">
        <v>6</v>
      </c>
      <c r="AP40" s="5" t="b">
        <v>1</v>
      </c>
      <c r="AQ40" s="24" t="s">
        <v>109</v>
      </c>
      <c r="AR40" s="5">
        <v>1</v>
      </c>
      <c r="AS40" s="5">
        <v>48</v>
      </c>
      <c r="AT40" s="5" t="b">
        <v>0</v>
      </c>
      <c r="AU40" s="6" t="s">
        <v>66</v>
      </c>
      <c r="AV40" s="5">
        <v>0</v>
      </c>
      <c r="AW40" s="5">
        <v>6</v>
      </c>
      <c r="AX40" s="5" t="b">
        <v>0</v>
      </c>
      <c r="AY40" s="6" t="s">
        <v>66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42" t="s">
        <v>66</v>
      </c>
      <c r="BJ40" s="70"/>
      <c r="BK40" s="5" t="s">
        <v>0</v>
      </c>
      <c r="BL40" s="5">
        <v>0</v>
      </c>
      <c r="BM40" s="5" t="b">
        <v>0</v>
      </c>
      <c r="BT40" s="8" t="b">
        <v>1</v>
      </c>
      <c r="CO40" s="64" t="str">
        <f t="shared" si="2"/>
        <v>.C-HeadH-C</v>
      </c>
    </row>
    <row r="41" spans="1:96" x14ac:dyDescent="0.25">
      <c r="A41" s="71" t="str">
        <f t="shared" si="0"/>
        <v>D-Head (H-D)</v>
      </c>
      <c r="C41" s="8" t="s">
        <v>434</v>
      </c>
      <c r="D41" s="8" t="s">
        <v>435</v>
      </c>
      <c r="E41" s="8" t="s">
        <v>593</v>
      </c>
      <c r="F41" s="5">
        <v>38</v>
      </c>
      <c r="G41" s="8" t="b">
        <v>0</v>
      </c>
      <c r="H41" s="5">
        <v>1</v>
      </c>
      <c r="I41" s="5" t="s">
        <v>2</v>
      </c>
      <c r="J41" s="5">
        <v>14</v>
      </c>
      <c r="K41" s="8" t="b">
        <v>0</v>
      </c>
      <c r="L41" s="5" t="b">
        <v>0</v>
      </c>
      <c r="M41" s="6" t="s">
        <v>66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0</v>
      </c>
      <c r="Y41" s="5" t="b">
        <v>0</v>
      </c>
      <c r="Z41" s="5" t="b">
        <v>0</v>
      </c>
      <c r="AA41" s="8">
        <v>0</v>
      </c>
      <c r="AB41" s="8">
        <v>0</v>
      </c>
      <c r="AC41" s="8">
        <v>6</v>
      </c>
      <c r="AD41" s="8">
        <v>6</v>
      </c>
      <c r="AE41" s="8">
        <v>2</v>
      </c>
      <c r="AF41" s="8">
        <v>24</v>
      </c>
      <c r="AG41" s="8">
        <v>0</v>
      </c>
      <c r="AH41" s="8">
        <v>0</v>
      </c>
      <c r="AI41" s="8">
        <v>7</v>
      </c>
      <c r="AJ41" s="8" t="b">
        <v>0</v>
      </c>
      <c r="AK41" s="5" t="b">
        <v>0</v>
      </c>
      <c r="AL41" s="5" t="b">
        <v>0</v>
      </c>
      <c r="AM41" s="6" t="s">
        <v>66</v>
      </c>
      <c r="AN41" s="5">
        <v>0</v>
      </c>
      <c r="AO41" s="5">
        <v>6</v>
      </c>
      <c r="AP41" s="5" t="b">
        <v>1</v>
      </c>
      <c r="AQ41" s="24" t="s">
        <v>109</v>
      </c>
      <c r="AR41" s="5">
        <v>1</v>
      </c>
      <c r="AS41" s="5">
        <v>48</v>
      </c>
      <c r="AT41" s="5" t="b">
        <v>0</v>
      </c>
      <c r="AU41" s="6" t="s">
        <v>66</v>
      </c>
      <c r="AV41" s="5">
        <v>0</v>
      </c>
      <c r="AW41" s="5">
        <v>6</v>
      </c>
      <c r="AX41" s="5" t="b">
        <v>0</v>
      </c>
      <c r="AY41" s="6" t="s">
        <v>66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42" t="s">
        <v>66</v>
      </c>
      <c r="BJ41" s="70"/>
      <c r="BK41" s="5" t="s">
        <v>0</v>
      </c>
      <c r="BL41" s="5">
        <v>0</v>
      </c>
      <c r="BM41" s="5" t="b">
        <v>0</v>
      </c>
      <c r="BT41" s="8" t="b">
        <v>1</v>
      </c>
      <c r="CO41" s="64" t="str">
        <f t="shared" si="2"/>
        <v>.D-HeadH-D</v>
      </c>
    </row>
    <row r="42" spans="1:96" x14ac:dyDescent="0.25">
      <c r="A42" s="71" t="str">
        <f t="shared" si="0"/>
        <v>E-Head (H-E)</v>
      </c>
      <c r="C42" s="8" t="s">
        <v>436</v>
      </c>
      <c r="D42" s="8" t="s">
        <v>437</v>
      </c>
      <c r="E42" s="8" t="s">
        <v>593</v>
      </c>
      <c r="F42" s="5">
        <v>39</v>
      </c>
      <c r="G42" s="8" t="b">
        <v>0</v>
      </c>
      <c r="H42" s="5">
        <v>1</v>
      </c>
      <c r="I42" s="5" t="s">
        <v>1</v>
      </c>
      <c r="J42" s="5">
        <v>14</v>
      </c>
      <c r="K42" s="8" t="b">
        <v>0</v>
      </c>
      <c r="L42" s="5" t="b">
        <v>0</v>
      </c>
      <c r="M42" s="6" t="s">
        <v>66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0</v>
      </c>
      <c r="Y42" s="5" t="b">
        <v>0</v>
      </c>
      <c r="Z42" s="5" t="b">
        <v>0</v>
      </c>
      <c r="AA42" s="8">
        <v>0</v>
      </c>
      <c r="AB42" s="8">
        <v>0</v>
      </c>
      <c r="AC42" s="8">
        <v>6</v>
      </c>
      <c r="AD42" s="8">
        <v>6</v>
      </c>
      <c r="AE42" s="8">
        <v>2</v>
      </c>
      <c r="AF42" s="8">
        <v>24</v>
      </c>
      <c r="AG42" s="8">
        <v>0</v>
      </c>
      <c r="AH42" s="8">
        <v>0</v>
      </c>
      <c r="AI42" s="8">
        <v>8</v>
      </c>
      <c r="AJ42" s="8" t="b">
        <v>0</v>
      </c>
      <c r="AK42" s="5" t="b">
        <v>0</v>
      </c>
      <c r="AL42" s="5" t="b">
        <v>0</v>
      </c>
      <c r="AM42" s="6" t="s">
        <v>66</v>
      </c>
      <c r="AN42" s="5">
        <v>0</v>
      </c>
      <c r="AO42" s="5">
        <v>6</v>
      </c>
      <c r="AP42" s="5" t="b">
        <v>1</v>
      </c>
      <c r="AQ42" s="24" t="s">
        <v>109</v>
      </c>
      <c r="AR42" s="5">
        <v>1</v>
      </c>
      <c r="AS42" s="5">
        <v>48</v>
      </c>
      <c r="AT42" s="5" t="b">
        <v>0</v>
      </c>
      <c r="AU42" s="6" t="s">
        <v>66</v>
      </c>
      <c r="AV42" s="5">
        <v>0</v>
      </c>
      <c r="AW42" s="5">
        <v>6</v>
      </c>
      <c r="AX42" s="5" t="b">
        <v>0</v>
      </c>
      <c r="AY42" s="6" t="s">
        <v>66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42" t="s">
        <v>66</v>
      </c>
      <c r="BJ42" s="70"/>
      <c r="BK42" s="5" t="s">
        <v>0</v>
      </c>
      <c r="BL42" s="5">
        <v>0</v>
      </c>
      <c r="BM42" s="5" t="b">
        <v>0</v>
      </c>
      <c r="BT42" s="8" t="b">
        <v>1</v>
      </c>
      <c r="CO42" s="64" t="str">
        <f t="shared" si="2"/>
        <v>.E-HeadH-E</v>
      </c>
    </row>
    <row r="43" spans="1:96" x14ac:dyDescent="0.25">
      <c r="A43" s="71" t="str">
        <f t="shared" si="0"/>
        <v>F-Head (H-F)</v>
      </c>
      <c r="C43" s="8" t="s">
        <v>438</v>
      </c>
      <c r="D43" s="8" t="s">
        <v>439</v>
      </c>
      <c r="E43" s="8" t="s">
        <v>593</v>
      </c>
      <c r="F43" s="5">
        <v>40</v>
      </c>
      <c r="G43" s="8" t="b">
        <v>0</v>
      </c>
      <c r="H43" s="5">
        <v>1</v>
      </c>
      <c r="I43" s="5" t="s">
        <v>71</v>
      </c>
      <c r="J43" s="5">
        <v>14</v>
      </c>
      <c r="K43" s="8" t="b">
        <v>0</v>
      </c>
      <c r="L43" s="5" t="b">
        <v>0</v>
      </c>
      <c r="M43" s="6" t="s">
        <v>66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0</v>
      </c>
      <c r="Y43" s="5" t="b">
        <v>0</v>
      </c>
      <c r="Z43" s="5" t="b">
        <v>0</v>
      </c>
      <c r="AA43" s="8">
        <v>0</v>
      </c>
      <c r="AB43" s="8">
        <v>0</v>
      </c>
      <c r="AC43" s="8">
        <v>6</v>
      </c>
      <c r="AD43" s="8">
        <v>6</v>
      </c>
      <c r="AE43" s="8">
        <v>2</v>
      </c>
      <c r="AF43" s="8">
        <v>24</v>
      </c>
      <c r="AG43" s="8">
        <v>0</v>
      </c>
      <c r="AH43" s="8">
        <v>0</v>
      </c>
      <c r="AI43" s="8">
        <v>9</v>
      </c>
      <c r="AJ43" s="8" t="b">
        <v>0</v>
      </c>
      <c r="AK43" s="5" t="b">
        <v>0</v>
      </c>
      <c r="AL43" s="5" t="b">
        <v>0</v>
      </c>
      <c r="AM43" s="6" t="s">
        <v>66</v>
      </c>
      <c r="AN43" s="5">
        <v>0</v>
      </c>
      <c r="AO43" s="5">
        <v>6</v>
      </c>
      <c r="AP43" s="5" t="b">
        <v>1</v>
      </c>
      <c r="AQ43" s="24" t="s">
        <v>109</v>
      </c>
      <c r="AR43" s="5">
        <v>1</v>
      </c>
      <c r="AS43" s="5">
        <v>48</v>
      </c>
      <c r="AT43" s="5" t="b">
        <v>0</v>
      </c>
      <c r="AU43" s="6" t="s">
        <v>66</v>
      </c>
      <c r="AV43" s="5">
        <v>0</v>
      </c>
      <c r="AW43" s="5">
        <v>6</v>
      </c>
      <c r="AX43" s="5" t="b">
        <v>0</v>
      </c>
      <c r="AY43" s="6" t="s">
        <v>66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42" t="s">
        <v>66</v>
      </c>
      <c r="BJ43" s="70"/>
      <c r="BK43" s="5" t="s">
        <v>0</v>
      </c>
      <c r="BL43" s="5">
        <v>0</v>
      </c>
      <c r="BM43" s="5" t="b">
        <v>0</v>
      </c>
      <c r="BT43" s="8" t="b">
        <v>1</v>
      </c>
      <c r="CO43" s="64" t="str">
        <f t="shared" si="2"/>
        <v>.F-HeadH-F</v>
      </c>
    </row>
    <row r="44" spans="1:96" x14ac:dyDescent="0.25">
      <c r="A44" s="71" t="str">
        <f t="shared" si="0"/>
        <v>G-Head (H-G)</v>
      </c>
      <c r="C44" s="8" t="s">
        <v>440</v>
      </c>
      <c r="D44" s="8" t="s">
        <v>441</v>
      </c>
      <c r="E44" s="8" t="s">
        <v>593</v>
      </c>
      <c r="F44" s="5">
        <v>41</v>
      </c>
      <c r="G44" s="8" t="b">
        <v>0</v>
      </c>
      <c r="H44" s="5">
        <v>1</v>
      </c>
      <c r="I44" s="5" t="s">
        <v>1</v>
      </c>
      <c r="J44" s="5">
        <v>12</v>
      </c>
      <c r="K44" s="8" t="b">
        <v>0</v>
      </c>
      <c r="L44" s="5" t="b">
        <v>0</v>
      </c>
      <c r="M44" s="6" t="s">
        <v>66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0</v>
      </c>
      <c r="Y44" s="5" t="b">
        <v>0</v>
      </c>
      <c r="Z44" s="5" t="b">
        <v>0</v>
      </c>
      <c r="AA44" s="8">
        <v>0</v>
      </c>
      <c r="AB44" s="8">
        <v>0</v>
      </c>
      <c r="AC44" s="8">
        <v>6</v>
      </c>
      <c r="AD44" s="8">
        <v>6</v>
      </c>
      <c r="AE44" s="8">
        <v>2</v>
      </c>
      <c r="AF44" s="8">
        <v>24</v>
      </c>
      <c r="AG44" s="8">
        <v>0</v>
      </c>
      <c r="AH44" s="8">
        <v>0</v>
      </c>
      <c r="AI44" s="8">
        <v>10</v>
      </c>
      <c r="AJ44" s="8" t="b">
        <v>0</v>
      </c>
      <c r="AK44" s="5" t="b">
        <v>0</v>
      </c>
      <c r="AL44" s="5" t="b">
        <v>0</v>
      </c>
      <c r="AM44" s="6" t="s">
        <v>66</v>
      </c>
      <c r="AN44" s="5">
        <v>0</v>
      </c>
      <c r="AO44" s="5">
        <v>6</v>
      </c>
      <c r="AP44" s="5" t="b">
        <v>1</v>
      </c>
      <c r="AQ44" s="24" t="s">
        <v>109</v>
      </c>
      <c r="AR44" s="5">
        <v>1</v>
      </c>
      <c r="AS44" s="5">
        <v>48</v>
      </c>
      <c r="AT44" s="5" t="b">
        <v>0</v>
      </c>
      <c r="AU44" s="6" t="s">
        <v>66</v>
      </c>
      <c r="AV44" s="5">
        <v>0</v>
      </c>
      <c r="AW44" s="5">
        <v>6</v>
      </c>
      <c r="AX44" s="5" t="b">
        <v>0</v>
      </c>
      <c r="AY44" s="6" t="s">
        <v>66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42" t="s">
        <v>66</v>
      </c>
      <c r="BJ44" s="70"/>
      <c r="BK44" s="5" t="s">
        <v>0</v>
      </c>
      <c r="BL44" s="5">
        <v>0</v>
      </c>
      <c r="BM44" s="5" t="b">
        <v>0</v>
      </c>
      <c r="BT44" s="8" t="b">
        <v>1</v>
      </c>
      <c r="CO44" s="64" t="str">
        <f t="shared" si="2"/>
        <v>.G-HeadH-G</v>
      </c>
    </row>
    <row r="45" spans="1:96" x14ac:dyDescent="0.25">
      <c r="A45" s="71" t="str">
        <f t="shared" si="0"/>
        <v>H-Head (H-I)</v>
      </c>
      <c r="C45" s="8" t="s">
        <v>442</v>
      </c>
      <c r="D45" s="8" t="s">
        <v>443</v>
      </c>
      <c r="E45" s="8" t="s">
        <v>593</v>
      </c>
      <c r="F45" s="5">
        <v>42</v>
      </c>
      <c r="G45" s="8" t="b">
        <v>0</v>
      </c>
      <c r="H45" s="5">
        <v>1</v>
      </c>
      <c r="I45" s="5" t="s">
        <v>71</v>
      </c>
      <c r="J45" s="5">
        <v>12</v>
      </c>
      <c r="K45" s="8" t="b">
        <v>0</v>
      </c>
      <c r="L45" s="5" t="b">
        <v>0</v>
      </c>
      <c r="M45" s="6" t="s">
        <v>66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8">
        <v>0</v>
      </c>
      <c r="AB45" s="8">
        <v>0</v>
      </c>
      <c r="AC45" s="8">
        <v>6</v>
      </c>
      <c r="AD45" s="8">
        <v>6</v>
      </c>
      <c r="AE45" s="8">
        <v>2</v>
      </c>
      <c r="AF45" s="8">
        <v>24</v>
      </c>
      <c r="AG45" s="8">
        <v>0</v>
      </c>
      <c r="AH45" s="8">
        <v>0</v>
      </c>
      <c r="AI45" s="8">
        <v>10</v>
      </c>
      <c r="AJ45" s="8" t="b">
        <v>0</v>
      </c>
      <c r="AK45" s="5" t="b">
        <v>0</v>
      </c>
      <c r="AL45" s="5" t="b">
        <v>0</v>
      </c>
      <c r="AM45" s="6" t="s">
        <v>66</v>
      </c>
      <c r="AN45" s="5">
        <v>0</v>
      </c>
      <c r="AO45" s="5">
        <v>6</v>
      </c>
      <c r="AP45" s="5" t="b">
        <v>1</v>
      </c>
      <c r="AQ45" s="24" t="s">
        <v>109</v>
      </c>
      <c r="AR45" s="5">
        <v>1</v>
      </c>
      <c r="AS45" s="5">
        <v>48</v>
      </c>
      <c r="AT45" s="5" t="b">
        <v>0</v>
      </c>
      <c r="AU45" s="6" t="s">
        <v>66</v>
      </c>
      <c r="AV45" s="5">
        <v>0</v>
      </c>
      <c r="AW45" s="5">
        <v>6</v>
      </c>
      <c r="AX45" s="5" t="b">
        <v>0</v>
      </c>
      <c r="AY45" s="6" t="s">
        <v>66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42" t="s">
        <v>66</v>
      </c>
      <c r="BJ45" s="70"/>
      <c r="BK45" s="5" t="s">
        <v>0</v>
      </c>
      <c r="BL45" s="5">
        <v>0</v>
      </c>
      <c r="BM45" s="5" t="b">
        <v>0</v>
      </c>
      <c r="BT45" s="8" t="b">
        <v>1</v>
      </c>
      <c r="CO45" s="64" t="str">
        <f t="shared" si="2"/>
        <v>.H-HeadH-I</v>
      </c>
    </row>
    <row r="46" spans="1:96" x14ac:dyDescent="0.25">
      <c r="A46" s="71" t="str">
        <f t="shared" si="0"/>
        <v>Body-Text (Tx)</v>
      </c>
      <c r="C46" s="8" t="s">
        <v>444</v>
      </c>
      <c r="D46" s="8" t="s">
        <v>445</v>
      </c>
      <c r="E46" s="8" t="s">
        <v>593</v>
      </c>
      <c r="F46" s="5">
        <v>43</v>
      </c>
      <c r="G46" s="8" t="b">
        <v>1</v>
      </c>
      <c r="H46" s="5">
        <v>1</v>
      </c>
      <c r="I46" s="5" t="s">
        <v>69</v>
      </c>
      <c r="J46" s="5">
        <v>12</v>
      </c>
      <c r="K46" s="8" t="b">
        <v>0</v>
      </c>
      <c r="L46" s="5" t="b">
        <v>0</v>
      </c>
      <c r="M46" s="6" t="s">
        <v>66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1</v>
      </c>
      <c r="Y46" s="5" t="b">
        <v>0</v>
      </c>
      <c r="Z46" s="5" t="b">
        <v>0</v>
      </c>
      <c r="AA46" s="8">
        <v>0</v>
      </c>
      <c r="AB46" s="8">
        <v>0</v>
      </c>
      <c r="AC46" s="8">
        <v>6</v>
      </c>
      <c r="AD46" s="8">
        <v>6</v>
      </c>
      <c r="AE46" s="8">
        <v>2</v>
      </c>
      <c r="AF46" s="8">
        <v>24</v>
      </c>
      <c r="AG46" s="8">
        <v>0</v>
      </c>
      <c r="AH46" s="8">
        <v>36</v>
      </c>
      <c r="AI46" s="8">
        <v>10</v>
      </c>
      <c r="AJ46" s="8" t="b">
        <v>0</v>
      </c>
      <c r="AK46" s="5" t="b">
        <v>0</v>
      </c>
      <c r="AL46" s="5" t="b">
        <v>0</v>
      </c>
      <c r="AM46" s="6" t="s">
        <v>66</v>
      </c>
      <c r="AN46" s="5">
        <v>0</v>
      </c>
      <c r="AO46" s="5">
        <v>6</v>
      </c>
      <c r="AP46" s="5" t="b">
        <v>1</v>
      </c>
      <c r="AQ46" s="24" t="s">
        <v>109</v>
      </c>
      <c r="AR46" s="5">
        <v>1</v>
      </c>
      <c r="AS46" s="5">
        <v>48</v>
      </c>
      <c r="AT46" s="5" t="b">
        <v>0</v>
      </c>
      <c r="AU46" s="6" t="s">
        <v>66</v>
      </c>
      <c r="AV46" s="5">
        <v>0</v>
      </c>
      <c r="AW46" s="5">
        <v>6</v>
      </c>
      <c r="AX46" s="5" t="b">
        <v>0</v>
      </c>
      <c r="AY46" s="6" t="s">
        <v>66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42" t="s">
        <v>66</v>
      </c>
      <c r="BJ46" s="70"/>
      <c r="BK46" s="5" t="s">
        <v>0</v>
      </c>
      <c r="BL46" s="5">
        <v>0</v>
      </c>
      <c r="BM46" s="5" t="b">
        <v>0</v>
      </c>
      <c r="CO46" s="64" t="s">
        <v>596</v>
      </c>
      <c r="CR46" s="8" t="b">
        <v>1</v>
      </c>
    </row>
    <row r="47" spans="1:96" x14ac:dyDescent="0.25">
      <c r="A47" s="71" t="str">
        <f t="shared" si="0"/>
        <v>Body-Text-Continued (Txc)</v>
      </c>
      <c r="C47" s="8" t="s">
        <v>446</v>
      </c>
      <c r="D47" s="8" t="s">
        <v>447</v>
      </c>
      <c r="E47" s="8" t="s">
        <v>593</v>
      </c>
      <c r="F47" s="5">
        <v>44</v>
      </c>
      <c r="G47" s="8" t="b">
        <v>0</v>
      </c>
      <c r="H47" s="5">
        <v>1</v>
      </c>
      <c r="I47" s="5" t="s">
        <v>69</v>
      </c>
      <c r="J47" s="5">
        <v>12</v>
      </c>
      <c r="K47" s="8" t="b">
        <v>0</v>
      </c>
      <c r="L47" s="5" t="b">
        <v>0</v>
      </c>
      <c r="M47" s="6" t="s">
        <v>66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8">
        <v>0</v>
      </c>
      <c r="AB47" s="8">
        <v>0</v>
      </c>
      <c r="AC47" s="8">
        <v>6</v>
      </c>
      <c r="AD47" s="8">
        <v>6</v>
      </c>
      <c r="AE47" s="8">
        <v>2</v>
      </c>
      <c r="AF47" s="8">
        <v>24</v>
      </c>
      <c r="AG47" s="8">
        <v>0</v>
      </c>
      <c r="AH47" s="8">
        <v>0</v>
      </c>
      <c r="AI47" s="8">
        <v>10</v>
      </c>
      <c r="AJ47" s="8" t="b">
        <v>0</v>
      </c>
      <c r="AK47" s="5" t="b">
        <v>0</v>
      </c>
      <c r="AL47" s="5" t="b">
        <v>0</v>
      </c>
      <c r="AM47" s="6" t="s">
        <v>66</v>
      </c>
      <c r="AN47" s="5">
        <v>0</v>
      </c>
      <c r="AO47" s="5">
        <v>6</v>
      </c>
      <c r="AP47" s="5" t="b">
        <v>1</v>
      </c>
      <c r="AQ47" s="24" t="s">
        <v>109</v>
      </c>
      <c r="AR47" s="5">
        <v>1</v>
      </c>
      <c r="AS47" s="5">
        <v>48</v>
      </c>
      <c r="AT47" s="5" t="b">
        <v>0</v>
      </c>
      <c r="AU47" s="6" t="s">
        <v>66</v>
      </c>
      <c r="AV47" s="5">
        <v>0</v>
      </c>
      <c r="AW47" s="5">
        <v>6</v>
      </c>
      <c r="AX47" s="5" t="b">
        <v>0</v>
      </c>
      <c r="AY47" s="6" t="s">
        <v>66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42" t="s">
        <v>66</v>
      </c>
      <c r="BJ47" s="70"/>
      <c r="BK47" s="5" t="s">
        <v>0</v>
      </c>
      <c r="BL47" s="5">
        <v>0</v>
      </c>
      <c r="BM47" s="5" t="b">
        <v>0</v>
      </c>
      <c r="CO47" s="64" t="str">
        <f t="shared" si="2"/>
        <v>.Body-Text-ContinuedTxc</v>
      </c>
    </row>
    <row r="48" spans="1:96" x14ac:dyDescent="0.25">
      <c r="A48" s="71" t="str">
        <f t="shared" si="0"/>
        <v>Verse (Vrs)</v>
      </c>
      <c r="C48" s="8" t="s">
        <v>448</v>
      </c>
      <c r="D48" s="8" t="s">
        <v>449</v>
      </c>
      <c r="E48" s="8" t="s">
        <v>594</v>
      </c>
      <c r="F48" s="5">
        <v>45</v>
      </c>
      <c r="G48" s="8" t="b">
        <v>0</v>
      </c>
      <c r="H48" s="5">
        <v>1</v>
      </c>
      <c r="I48" s="5" t="s">
        <v>69</v>
      </c>
      <c r="J48" s="5">
        <v>11</v>
      </c>
      <c r="K48" s="8" t="b">
        <v>0</v>
      </c>
      <c r="L48" s="5" t="b">
        <v>0</v>
      </c>
      <c r="M48" s="6" t="s">
        <v>66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1</v>
      </c>
      <c r="Y48" s="5" t="b">
        <v>0</v>
      </c>
      <c r="Z48" s="5" t="b">
        <v>0</v>
      </c>
      <c r="AA48" s="8">
        <v>0</v>
      </c>
      <c r="AB48" s="8">
        <v>0</v>
      </c>
      <c r="AC48" s="8">
        <v>6</v>
      </c>
      <c r="AD48" s="8">
        <v>6</v>
      </c>
      <c r="AE48" s="8">
        <v>2</v>
      </c>
      <c r="AF48" s="8">
        <v>24</v>
      </c>
      <c r="AG48" s="8">
        <v>0</v>
      </c>
      <c r="AH48" s="8">
        <v>0</v>
      </c>
      <c r="AI48" s="8">
        <v>10</v>
      </c>
      <c r="AJ48" s="8" t="b">
        <v>0</v>
      </c>
      <c r="AK48" s="5" t="b">
        <v>0</v>
      </c>
      <c r="AL48" s="5" t="b">
        <v>0</v>
      </c>
      <c r="AM48" s="6" t="s">
        <v>66</v>
      </c>
      <c r="AN48" s="5">
        <v>0</v>
      </c>
      <c r="AO48" s="5">
        <v>6</v>
      </c>
      <c r="AP48" s="5" t="b">
        <v>1</v>
      </c>
      <c r="AQ48" s="24" t="s">
        <v>109</v>
      </c>
      <c r="AR48" s="5">
        <v>1</v>
      </c>
      <c r="AS48" s="5">
        <v>48</v>
      </c>
      <c r="AT48" s="5" t="b">
        <v>0</v>
      </c>
      <c r="AU48" s="6" t="s">
        <v>66</v>
      </c>
      <c r="AV48" s="5">
        <v>0</v>
      </c>
      <c r="AW48" s="5">
        <v>6</v>
      </c>
      <c r="AX48" s="5" t="b">
        <v>0</v>
      </c>
      <c r="AY48" s="6" t="s">
        <v>66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42" t="s">
        <v>66</v>
      </c>
      <c r="BJ48" s="70"/>
      <c r="BK48" s="5" t="s">
        <v>0</v>
      </c>
      <c r="BL48" s="5">
        <v>0</v>
      </c>
      <c r="BM48" s="5" t="b">
        <v>0</v>
      </c>
      <c r="CO48" s="64" t="str">
        <f t="shared" si="2"/>
        <v>.VerseVrs</v>
      </c>
    </row>
    <row r="49" spans="1:93" x14ac:dyDescent="0.25">
      <c r="A49" s="71" t="str">
        <f t="shared" si="0"/>
        <v>Quotation (Qt)</v>
      </c>
      <c r="C49" s="8" t="s">
        <v>450</v>
      </c>
      <c r="D49" s="8" t="s">
        <v>451</v>
      </c>
      <c r="E49" s="8" t="s">
        <v>595</v>
      </c>
      <c r="F49" s="5">
        <v>46</v>
      </c>
      <c r="G49" s="8" t="b">
        <v>1</v>
      </c>
      <c r="H49" s="5">
        <v>1</v>
      </c>
      <c r="I49" s="5" t="s">
        <v>69</v>
      </c>
      <c r="J49" s="5">
        <v>11</v>
      </c>
      <c r="K49" s="8" t="b">
        <v>0</v>
      </c>
      <c r="L49" s="5" t="b">
        <v>0</v>
      </c>
      <c r="M49" s="6" t="s">
        <v>66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0</v>
      </c>
      <c r="Y49" s="5" t="b">
        <v>0</v>
      </c>
      <c r="Z49" s="5" t="b">
        <v>0</v>
      </c>
      <c r="AA49" s="8">
        <v>0</v>
      </c>
      <c r="AB49" s="8">
        <v>0</v>
      </c>
      <c r="AC49" s="8">
        <v>6</v>
      </c>
      <c r="AD49" s="8">
        <v>6</v>
      </c>
      <c r="AE49" s="8">
        <v>2</v>
      </c>
      <c r="AF49" s="8">
        <v>24</v>
      </c>
      <c r="AG49" s="8">
        <v>0</v>
      </c>
      <c r="AH49" s="8">
        <v>36</v>
      </c>
      <c r="AI49" s="8">
        <v>10</v>
      </c>
      <c r="AJ49" s="8" t="b">
        <v>0</v>
      </c>
      <c r="AK49" s="5" t="b">
        <v>0</v>
      </c>
      <c r="AL49" s="5" t="b">
        <v>0</v>
      </c>
      <c r="AM49" s="6" t="s">
        <v>66</v>
      </c>
      <c r="AN49" s="5">
        <v>0</v>
      </c>
      <c r="AO49" s="5">
        <v>6</v>
      </c>
      <c r="AP49" s="5" t="b">
        <v>1</v>
      </c>
      <c r="AQ49" s="24" t="s">
        <v>109</v>
      </c>
      <c r="AR49" s="5">
        <v>1</v>
      </c>
      <c r="AS49" s="5">
        <v>48</v>
      </c>
      <c r="AT49" s="5" t="b">
        <v>0</v>
      </c>
      <c r="AU49" s="6" t="s">
        <v>66</v>
      </c>
      <c r="AV49" s="5">
        <v>0</v>
      </c>
      <c r="AW49" s="5">
        <v>6</v>
      </c>
      <c r="AX49" s="5" t="b">
        <v>0</v>
      </c>
      <c r="AY49" s="6" t="s">
        <v>66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42" t="s">
        <v>66</v>
      </c>
      <c r="BJ49" s="70"/>
      <c r="BK49" s="5" t="s">
        <v>0</v>
      </c>
      <c r="BL49" s="5">
        <v>0</v>
      </c>
      <c r="BM49" s="5" t="b">
        <v>0</v>
      </c>
      <c r="CO49" s="64" t="str">
        <f t="shared" si="2"/>
        <v>.QuotationQt</v>
      </c>
    </row>
    <row r="50" spans="1:93" x14ac:dyDescent="0.25">
      <c r="A50" s="71" t="str">
        <f t="shared" si="0"/>
        <v>Source (Src)</v>
      </c>
      <c r="C50" s="8" t="s">
        <v>452</v>
      </c>
      <c r="D50" s="8" t="s">
        <v>453</v>
      </c>
      <c r="E50" s="8" t="s">
        <v>593</v>
      </c>
      <c r="F50" s="5">
        <v>47</v>
      </c>
      <c r="G50" s="8" t="b">
        <v>0</v>
      </c>
      <c r="H50" s="5">
        <v>1</v>
      </c>
      <c r="I50" s="5" t="s">
        <v>69</v>
      </c>
      <c r="J50" s="5">
        <v>12</v>
      </c>
      <c r="K50" s="8" t="b">
        <v>0</v>
      </c>
      <c r="L50" s="5" t="b">
        <v>0</v>
      </c>
      <c r="M50" s="6" t="s">
        <v>66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0</v>
      </c>
      <c r="Y50" s="5" t="b">
        <v>0</v>
      </c>
      <c r="Z50" s="5" t="b">
        <v>0</v>
      </c>
      <c r="AA50" s="8">
        <v>0</v>
      </c>
      <c r="AB50" s="8">
        <v>0</v>
      </c>
      <c r="AC50" s="8">
        <v>6</v>
      </c>
      <c r="AD50" s="8">
        <v>6</v>
      </c>
      <c r="AE50" s="8">
        <v>2</v>
      </c>
      <c r="AF50" s="8">
        <v>24</v>
      </c>
      <c r="AG50" s="8">
        <v>2</v>
      </c>
      <c r="AH50" s="8">
        <v>0</v>
      </c>
      <c r="AI50" s="8">
        <v>10</v>
      </c>
      <c r="AJ50" s="8" t="b">
        <v>0</v>
      </c>
      <c r="AK50" s="5" t="b">
        <v>0</v>
      </c>
      <c r="AL50" s="5" t="b">
        <v>0</v>
      </c>
      <c r="AM50" s="6" t="s">
        <v>66</v>
      </c>
      <c r="AN50" s="5">
        <v>0</v>
      </c>
      <c r="AO50" s="5">
        <v>6</v>
      </c>
      <c r="AP50" s="5" t="b">
        <v>1</v>
      </c>
      <c r="AQ50" s="24" t="s">
        <v>109</v>
      </c>
      <c r="AR50" s="5">
        <v>1</v>
      </c>
      <c r="AS50" s="5">
        <v>48</v>
      </c>
      <c r="AT50" s="5" t="b">
        <v>0</v>
      </c>
      <c r="AU50" s="6" t="s">
        <v>66</v>
      </c>
      <c r="AV50" s="5">
        <v>0</v>
      </c>
      <c r="AW50" s="5">
        <v>6</v>
      </c>
      <c r="AX50" s="5" t="b">
        <v>0</v>
      </c>
      <c r="AY50" s="6" t="s">
        <v>66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42" t="s">
        <v>66</v>
      </c>
      <c r="BJ50" s="70"/>
      <c r="BK50" s="5" t="s">
        <v>0</v>
      </c>
      <c r="BL50" s="5">
        <v>0</v>
      </c>
      <c r="BM50" s="5" t="b">
        <v>0</v>
      </c>
      <c r="CO50" s="64" t="str">
        <f t="shared" si="2"/>
        <v>.SourceSrc</v>
      </c>
    </row>
    <row r="51" spans="1:93" x14ac:dyDescent="0.25">
      <c r="A51" s="71" t="str">
        <f t="shared" si="0"/>
        <v>Dateline (Date)</v>
      </c>
      <c r="C51" s="8" t="s">
        <v>454</v>
      </c>
      <c r="D51" s="8" t="s">
        <v>455</v>
      </c>
      <c r="E51" s="8" t="s">
        <v>593</v>
      </c>
      <c r="F51" s="5">
        <v>48</v>
      </c>
      <c r="G51" s="8" t="b">
        <v>0</v>
      </c>
      <c r="H51" s="5">
        <v>1</v>
      </c>
      <c r="I51" s="5" t="s">
        <v>1</v>
      </c>
      <c r="J51" s="5">
        <v>10</v>
      </c>
      <c r="K51" s="8" t="b">
        <v>0</v>
      </c>
      <c r="L51" s="5" t="b">
        <v>0</v>
      </c>
      <c r="M51" s="6" t="s">
        <v>66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1</v>
      </c>
      <c r="Y51" s="5" t="b">
        <v>0</v>
      </c>
      <c r="Z51" s="5" t="b">
        <v>0</v>
      </c>
      <c r="AA51" s="8">
        <v>0</v>
      </c>
      <c r="AB51" s="8">
        <v>0</v>
      </c>
      <c r="AC51" s="8">
        <v>6</v>
      </c>
      <c r="AD51" s="8">
        <v>6</v>
      </c>
      <c r="AE51" s="8">
        <v>2</v>
      </c>
      <c r="AF51" s="8">
        <v>24</v>
      </c>
      <c r="AG51" s="8">
        <v>0</v>
      </c>
      <c r="AH51" s="8">
        <v>0</v>
      </c>
      <c r="AI51" s="8">
        <v>10</v>
      </c>
      <c r="AJ51" s="8" t="b">
        <v>0</v>
      </c>
      <c r="AK51" s="5" t="b">
        <v>0</v>
      </c>
      <c r="AL51" s="5" t="b">
        <v>0</v>
      </c>
      <c r="AM51" s="6" t="s">
        <v>66</v>
      </c>
      <c r="AN51" s="5">
        <v>0</v>
      </c>
      <c r="AO51" s="5">
        <v>6</v>
      </c>
      <c r="AP51" s="5" t="b">
        <v>1</v>
      </c>
      <c r="AQ51" s="24" t="s">
        <v>109</v>
      </c>
      <c r="AR51" s="5">
        <v>1</v>
      </c>
      <c r="AS51" s="5">
        <v>48</v>
      </c>
      <c r="AT51" s="5" t="b">
        <v>0</v>
      </c>
      <c r="AU51" s="6" t="s">
        <v>66</v>
      </c>
      <c r="AV51" s="5">
        <v>0</v>
      </c>
      <c r="AW51" s="5">
        <v>6</v>
      </c>
      <c r="AX51" s="5" t="b">
        <v>0</v>
      </c>
      <c r="AY51" s="6" t="s">
        <v>66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42" t="s">
        <v>66</v>
      </c>
      <c r="BJ51" s="70"/>
      <c r="BK51" s="5" t="s">
        <v>0</v>
      </c>
      <c r="BL51" s="5">
        <v>0</v>
      </c>
      <c r="BM51" s="5" t="b">
        <v>0</v>
      </c>
      <c r="CO51" s="64" t="str">
        <f t="shared" si="2"/>
        <v>.DatelineDate</v>
      </c>
    </row>
    <row r="52" spans="1:93" x14ac:dyDescent="0.25">
      <c r="A52" s="71" t="str">
        <f t="shared" si="0"/>
        <v>Address (Add)</v>
      </c>
      <c r="C52" s="8" t="s">
        <v>234</v>
      </c>
      <c r="D52" s="8" t="s">
        <v>456</v>
      </c>
      <c r="E52" s="71" t="str">
        <f t="shared" ref="E52:E74" si="3">IF($D52="","",TRIM($C52)&amp;" "&amp;CHAR(40)&amp;TRIM($D52)&amp;CHAR(41))</f>
        <v>Address (Add)</v>
      </c>
      <c r="F52" s="5">
        <v>49</v>
      </c>
      <c r="G52" s="8" t="b">
        <v>0</v>
      </c>
      <c r="H52" s="5">
        <v>1</v>
      </c>
      <c r="I52" s="5" t="s">
        <v>1</v>
      </c>
      <c r="J52" s="5">
        <v>10</v>
      </c>
      <c r="K52" s="8" t="b">
        <v>0</v>
      </c>
      <c r="L52" s="5" t="b">
        <v>0</v>
      </c>
      <c r="M52" s="6" t="s">
        <v>66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1</v>
      </c>
      <c r="Y52" s="5" t="b">
        <v>0</v>
      </c>
      <c r="Z52" s="5" t="b">
        <v>0</v>
      </c>
      <c r="AA52" s="8">
        <v>0</v>
      </c>
      <c r="AB52" s="8">
        <v>0</v>
      </c>
      <c r="AC52" s="8">
        <v>6</v>
      </c>
      <c r="AD52" s="8">
        <v>6</v>
      </c>
      <c r="AE52" s="8">
        <v>2</v>
      </c>
      <c r="AF52" s="8">
        <v>24</v>
      </c>
      <c r="AG52" s="8">
        <v>0</v>
      </c>
      <c r="AH52" s="8">
        <v>0</v>
      </c>
      <c r="AI52" s="8">
        <v>10</v>
      </c>
      <c r="AJ52" s="8" t="b">
        <v>0</v>
      </c>
      <c r="AK52" s="5" t="b">
        <v>0</v>
      </c>
      <c r="AL52" s="5" t="b">
        <v>0</v>
      </c>
      <c r="AM52" s="6" t="s">
        <v>66</v>
      </c>
      <c r="AN52" s="5">
        <v>0</v>
      </c>
      <c r="AO52" s="5">
        <v>6</v>
      </c>
      <c r="AP52" s="5" t="b">
        <v>1</v>
      </c>
      <c r="AQ52" s="24" t="s">
        <v>109</v>
      </c>
      <c r="AR52" s="5">
        <v>1</v>
      </c>
      <c r="AS52" s="5">
        <v>48</v>
      </c>
      <c r="AT52" s="5" t="b">
        <v>0</v>
      </c>
      <c r="AU52" s="6" t="s">
        <v>66</v>
      </c>
      <c r="AV52" s="5">
        <v>0</v>
      </c>
      <c r="AW52" s="5">
        <v>6</v>
      </c>
      <c r="AX52" s="5" t="b">
        <v>0</v>
      </c>
      <c r="AY52" s="6" t="s">
        <v>66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42" t="s">
        <v>66</v>
      </c>
      <c r="BJ52" s="70"/>
      <c r="BK52" s="5" t="s">
        <v>0</v>
      </c>
      <c r="BL52" s="5">
        <v>0</v>
      </c>
      <c r="BM52" s="5" t="b">
        <v>0</v>
      </c>
      <c r="CO52" s="64" t="str">
        <f t="shared" si="2"/>
        <v>.AddressAdd</v>
      </c>
    </row>
    <row r="53" spans="1:93" x14ac:dyDescent="0.25">
      <c r="A53" s="71" t="str">
        <f t="shared" si="0"/>
        <v>Location (Loc)</v>
      </c>
      <c r="C53" s="8" t="s">
        <v>457</v>
      </c>
      <c r="D53" s="8" t="s">
        <v>458</v>
      </c>
      <c r="E53" s="71" t="str">
        <f t="shared" si="3"/>
        <v>Location (Loc)</v>
      </c>
      <c r="F53" s="5">
        <v>50</v>
      </c>
      <c r="G53" s="8" t="b">
        <v>0</v>
      </c>
      <c r="H53" s="5">
        <v>1</v>
      </c>
      <c r="I53" s="5" t="s">
        <v>1</v>
      </c>
      <c r="J53" s="5">
        <v>10</v>
      </c>
      <c r="K53" s="8" t="b">
        <v>0</v>
      </c>
      <c r="L53" s="5" t="b">
        <v>0</v>
      </c>
      <c r="M53" s="6" t="s">
        <v>66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1</v>
      </c>
      <c r="Y53" s="5" t="b">
        <v>0</v>
      </c>
      <c r="Z53" s="5" t="b">
        <v>0</v>
      </c>
      <c r="AA53" s="8">
        <v>0</v>
      </c>
      <c r="AB53" s="8">
        <v>0</v>
      </c>
      <c r="AC53" s="8">
        <v>6</v>
      </c>
      <c r="AD53" s="8">
        <v>6</v>
      </c>
      <c r="AE53" s="8">
        <v>2</v>
      </c>
      <c r="AF53" s="8">
        <v>24</v>
      </c>
      <c r="AG53" s="8">
        <v>0</v>
      </c>
      <c r="AH53" s="8">
        <v>0</v>
      </c>
      <c r="AI53" s="8">
        <v>10</v>
      </c>
      <c r="AJ53" s="8" t="b">
        <v>0</v>
      </c>
      <c r="AK53" s="5" t="b">
        <v>0</v>
      </c>
      <c r="AL53" s="5" t="b">
        <v>0</v>
      </c>
      <c r="AM53" s="6" t="s">
        <v>66</v>
      </c>
      <c r="AN53" s="5">
        <v>0</v>
      </c>
      <c r="AO53" s="5">
        <v>6</v>
      </c>
      <c r="AP53" s="5" t="b">
        <v>1</v>
      </c>
      <c r="AQ53" s="24" t="s">
        <v>109</v>
      </c>
      <c r="AR53" s="5">
        <v>1</v>
      </c>
      <c r="AS53" s="5">
        <v>48</v>
      </c>
      <c r="AT53" s="5" t="b">
        <v>0</v>
      </c>
      <c r="AU53" s="6" t="s">
        <v>66</v>
      </c>
      <c r="AV53" s="5">
        <v>0</v>
      </c>
      <c r="AW53" s="5">
        <v>6</v>
      </c>
      <c r="AX53" s="5" t="b">
        <v>0</v>
      </c>
      <c r="AY53" s="6" t="s">
        <v>66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42" t="s">
        <v>66</v>
      </c>
      <c r="BJ53" s="70"/>
      <c r="BK53" s="5" t="s">
        <v>0</v>
      </c>
      <c r="BL53" s="5">
        <v>0</v>
      </c>
      <c r="BM53" s="5" t="b">
        <v>0</v>
      </c>
      <c r="CO53" s="64" t="str">
        <f t="shared" si="2"/>
        <v>.LocationLoc</v>
      </c>
    </row>
    <row r="54" spans="1:93" x14ac:dyDescent="0.25">
      <c r="A54" s="71" t="str">
        <f t="shared" si="0"/>
        <v>Signature (Sig)</v>
      </c>
      <c r="C54" s="8" t="s">
        <v>459</v>
      </c>
      <c r="D54" s="8" t="s">
        <v>460</v>
      </c>
      <c r="E54" s="71" t="str">
        <f t="shared" si="3"/>
        <v>Signature (Sig)</v>
      </c>
      <c r="F54" s="5">
        <v>51</v>
      </c>
      <c r="G54" s="8" t="b">
        <v>0</v>
      </c>
      <c r="H54" s="5">
        <v>1</v>
      </c>
      <c r="I54" s="5" t="s">
        <v>1</v>
      </c>
      <c r="J54" s="5">
        <v>10</v>
      </c>
      <c r="K54" s="8" t="b">
        <v>0</v>
      </c>
      <c r="L54" s="5" t="b">
        <v>0</v>
      </c>
      <c r="M54" s="6" t="s">
        <v>66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1</v>
      </c>
      <c r="Y54" s="5" t="b">
        <v>0</v>
      </c>
      <c r="Z54" s="5" t="b">
        <v>0</v>
      </c>
      <c r="AA54" s="8">
        <v>0</v>
      </c>
      <c r="AB54" s="8">
        <v>0</v>
      </c>
      <c r="AC54" s="8">
        <v>6</v>
      </c>
      <c r="AD54" s="8">
        <v>6</v>
      </c>
      <c r="AE54" s="8">
        <v>2</v>
      </c>
      <c r="AF54" s="8">
        <v>24</v>
      </c>
      <c r="AG54" s="8">
        <v>2</v>
      </c>
      <c r="AH54" s="8">
        <v>0</v>
      </c>
      <c r="AI54" s="8">
        <v>10</v>
      </c>
      <c r="AJ54" s="8" t="b">
        <v>0</v>
      </c>
      <c r="AK54" s="5" t="b">
        <v>0</v>
      </c>
      <c r="AL54" s="5" t="b">
        <v>0</v>
      </c>
      <c r="AM54" s="6" t="s">
        <v>66</v>
      </c>
      <c r="AN54" s="5">
        <v>0</v>
      </c>
      <c r="AO54" s="5">
        <v>6</v>
      </c>
      <c r="AP54" s="5" t="b">
        <v>1</v>
      </c>
      <c r="AQ54" s="24" t="s">
        <v>109</v>
      </c>
      <c r="AR54" s="5">
        <v>1</v>
      </c>
      <c r="AS54" s="5">
        <v>48</v>
      </c>
      <c r="AT54" s="5" t="b">
        <v>0</v>
      </c>
      <c r="AU54" s="6" t="s">
        <v>66</v>
      </c>
      <c r="AV54" s="5">
        <v>0</v>
      </c>
      <c r="AW54" s="5">
        <v>6</v>
      </c>
      <c r="AX54" s="5" t="b">
        <v>0</v>
      </c>
      <c r="AY54" s="6" t="s">
        <v>66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42" t="s">
        <v>66</v>
      </c>
      <c r="BJ54" s="70"/>
      <c r="BK54" s="5" t="s">
        <v>0</v>
      </c>
      <c r="BL54" s="5">
        <v>0</v>
      </c>
      <c r="BM54" s="5" t="b">
        <v>0</v>
      </c>
      <c r="CO54" s="64" t="str">
        <f t="shared" si="2"/>
        <v>.SignatureSig</v>
      </c>
    </row>
    <row r="55" spans="1:93" x14ac:dyDescent="0.25">
      <c r="A55" s="71" t="str">
        <f t="shared" si="0"/>
        <v>Salutation (Sal)</v>
      </c>
      <c r="C55" s="8" t="s">
        <v>461</v>
      </c>
      <c r="D55" s="8" t="s">
        <v>462</v>
      </c>
      <c r="E55" s="71" t="str">
        <f t="shared" si="3"/>
        <v>Salutation (Sal)</v>
      </c>
      <c r="F55" s="5">
        <v>52</v>
      </c>
      <c r="G55" s="8" t="b">
        <v>0</v>
      </c>
      <c r="H55" s="5">
        <v>1</v>
      </c>
      <c r="I55" s="5" t="s">
        <v>1</v>
      </c>
      <c r="J55" s="5">
        <v>10</v>
      </c>
      <c r="K55" s="8" t="b">
        <v>0</v>
      </c>
      <c r="L55" s="5" t="b">
        <v>0</v>
      </c>
      <c r="M55" s="6" t="s">
        <v>66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0</v>
      </c>
      <c r="Y55" s="5" t="b">
        <v>0</v>
      </c>
      <c r="Z55" s="5" t="b">
        <v>0</v>
      </c>
      <c r="AA55" s="8">
        <v>0</v>
      </c>
      <c r="AB55" s="8">
        <v>0</v>
      </c>
      <c r="AC55" s="8">
        <v>6</v>
      </c>
      <c r="AD55" s="8">
        <v>6</v>
      </c>
      <c r="AE55" s="8">
        <v>2</v>
      </c>
      <c r="AF55" s="8">
        <v>24</v>
      </c>
      <c r="AG55" s="8">
        <v>0</v>
      </c>
      <c r="AH55" s="8">
        <v>0</v>
      </c>
      <c r="AI55" s="8">
        <v>10</v>
      </c>
      <c r="AJ55" s="8" t="b">
        <v>0</v>
      </c>
      <c r="AK55" s="5" t="b">
        <v>0</v>
      </c>
      <c r="AL55" s="5" t="b">
        <v>0</v>
      </c>
      <c r="AM55" s="6" t="s">
        <v>66</v>
      </c>
      <c r="AN55" s="5">
        <v>0</v>
      </c>
      <c r="AO55" s="5">
        <v>6</v>
      </c>
      <c r="AP55" s="5" t="b">
        <v>1</v>
      </c>
      <c r="AQ55" s="24" t="s">
        <v>109</v>
      </c>
      <c r="AR55" s="5">
        <v>1</v>
      </c>
      <c r="AS55" s="5">
        <v>48</v>
      </c>
      <c r="AT55" s="5" t="b">
        <v>0</v>
      </c>
      <c r="AU55" s="6" t="s">
        <v>66</v>
      </c>
      <c r="AV55" s="5">
        <v>0</v>
      </c>
      <c r="AW55" s="5">
        <v>6</v>
      </c>
      <c r="AX55" s="5" t="b">
        <v>0</v>
      </c>
      <c r="AY55" s="6" t="s">
        <v>66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42" t="s">
        <v>66</v>
      </c>
      <c r="BJ55" s="70"/>
      <c r="BK55" s="5" t="s">
        <v>0</v>
      </c>
      <c r="BL55" s="5">
        <v>0</v>
      </c>
      <c r="BM55" s="5" t="b">
        <v>0</v>
      </c>
      <c r="CO55" s="64" t="str">
        <f t="shared" si="2"/>
        <v>.SalutationSal</v>
      </c>
    </row>
    <row r="56" spans="1:93" x14ac:dyDescent="0.25">
      <c r="A56" s="71" t="str">
        <f t="shared" si="0"/>
        <v>Closing (Clo)</v>
      </c>
      <c r="C56" s="8" t="s">
        <v>463</v>
      </c>
      <c r="D56" s="8" t="s">
        <v>464</v>
      </c>
      <c r="E56" s="71" t="str">
        <f t="shared" si="3"/>
        <v>Closing (Clo)</v>
      </c>
      <c r="F56" s="5">
        <v>53</v>
      </c>
      <c r="G56" s="8" t="b">
        <v>0</v>
      </c>
      <c r="H56" s="5">
        <v>1</v>
      </c>
      <c r="I56" s="5" t="s">
        <v>1</v>
      </c>
      <c r="J56" s="5">
        <v>10</v>
      </c>
      <c r="K56" s="8" t="b">
        <v>0</v>
      </c>
      <c r="L56" s="5" t="b">
        <v>0</v>
      </c>
      <c r="M56" s="6" t="s">
        <v>66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8">
        <v>0</v>
      </c>
      <c r="AB56" s="8">
        <v>0</v>
      </c>
      <c r="AC56" s="8">
        <v>6</v>
      </c>
      <c r="AD56" s="8">
        <v>6</v>
      </c>
      <c r="AE56" s="8">
        <v>2</v>
      </c>
      <c r="AF56" s="8">
        <v>24</v>
      </c>
      <c r="AG56" s="8">
        <v>2</v>
      </c>
      <c r="AH56" s="8">
        <v>0</v>
      </c>
      <c r="AI56" s="8">
        <v>10</v>
      </c>
      <c r="AJ56" s="8" t="b">
        <v>0</v>
      </c>
      <c r="AK56" s="5" t="b">
        <v>0</v>
      </c>
      <c r="AL56" s="5" t="b">
        <v>0</v>
      </c>
      <c r="AM56" s="6" t="s">
        <v>66</v>
      </c>
      <c r="AN56" s="5">
        <v>0</v>
      </c>
      <c r="AO56" s="5">
        <v>6</v>
      </c>
      <c r="AP56" s="5" t="b">
        <v>1</v>
      </c>
      <c r="AQ56" s="24" t="s">
        <v>109</v>
      </c>
      <c r="AR56" s="5">
        <v>1</v>
      </c>
      <c r="AS56" s="5">
        <v>48</v>
      </c>
      <c r="AT56" s="5" t="b">
        <v>0</v>
      </c>
      <c r="AU56" s="6" t="s">
        <v>66</v>
      </c>
      <c r="AV56" s="5">
        <v>0</v>
      </c>
      <c r="AW56" s="5">
        <v>6</v>
      </c>
      <c r="AX56" s="5" t="b">
        <v>0</v>
      </c>
      <c r="AY56" s="6" t="s">
        <v>66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42" t="s">
        <v>66</v>
      </c>
      <c r="BJ56" s="70"/>
      <c r="BK56" s="5" t="s">
        <v>0</v>
      </c>
      <c r="BL56" s="5">
        <v>0</v>
      </c>
      <c r="BM56" s="5" t="b">
        <v>0</v>
      </c>
      <c r="CO56" s="64" t="str">
        <f t="shared" si="2"/>
        <v>.ClosingClo</v>
      </c>
    </row>
    <row r="57" spans="1:93" x14ac:dyDescent="0.25">
      <c r="A57" s="71" t="str">
        <f t="shared" si="0"/>
        <v>Postscript (Pst)</v>
      </c>
      <c r="C57" s="8" t="s">
        <v>465</v>
      </c>
      <c r="D57" s="8" t="s">
        <v>466</v>
      </c>
      <c r="E57" s="71" t="str">
        <f t="shared" si="3"/>
        <v>Postscript (Pst)</v>
      </c>
      <c r="F57" s="5">
        <v>54</v>
      </c>
      <c r="G57" s="8" t="b">
        <v>0</v>
      </c>
      <c r="H57" s="5">
        <v>1</v>
      </c>
      <c r="I57" s="5" t="s">
        <v>1</v>
      </c>
      <c r="J57" s="5">
        <v>10</v>
      </c>
      <c r="K57" s="8" t="b">
        <v>0</v>
      </c>
      <c r="L57" s="5" t="b">
        <v>0</v>
      </c>
      <c r="M57" s="6" t="s">
        <v>66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8">
        <v>0</v>
      </c>
      <c r="AB57" s="8">
        <v>0</v>
      </c>
      <c r="AC57" s="8">
        <v>6</v>
      </c>
      <c r="AD57" s="8">
        <v>6</v>
      </c>
      <c r="AE57" s="8">
        <v>2</v>
      </c>
      <c r="AF57" s="8">
        <v>24</v>
      </c>
      <c r="AG57" s="8">
        <v>0</v>
      </c>
      <c r="AH57" s="8">
        <v>0</v>
      </c>
      <c r="AI57" s="8">
        <v>10</v>
      </c>
      <c r="AJ57" s="8" t="b">
        <v>0</v>
      </c>
      <c r="AK57" s="5" t="b">
        <v>0</v>
      </c>
      <c r="AL57" s="5" t="b">
        <v>0</v>
      </c>
      <c r="AM57" s="6" t="s">
        <v>66</v>
      </c>
      <c r="AN57" s="5">
        <v>0</v>
      </c>
      <c r="AO57" s="5">
        <v>6</v>
      </c>
      <c r="AP57" s="5" t="b">
        <v>1</v>
      </c>
      <c r="AQ57" s="24" t="s">
        <v>109</v>
      </c>
      <c r="AR57" s="5">
        <v>1</v>
      </c>
      <c r="AS57" s="5">
        <v>48</v>
      </c>
      <c r="AT57" s="5" t="b">
        <v>0</v>
      </c>
      <c r="AU57" s="6" t="s">
        <v>66</v>
      </c>
      <c r="AV57" s="5">
        <v>0</v>
      </c>
      <c r="AW57" s="5">
        <v>6</v>
      </c>
      <c r="AX57" s="5" t="b">
        <v>0</v>
      </c>
      <c r="AY57" s="6" t="s">
        <v>66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42" t="s">
        <v>66</v>
      </c>
      <c r="BJ57" s="70"/>
      <c r="BK57" s="5" t="s">
        <v>0</v>
      </c>
      <c r="BL57" s="5">
        <v>0</v>
      </c>
      <c r="BM57" s="5" t="b">
        <v>0</v>
      </c>
      <c r="CO57" s="64" t="str">
        <f t="shared" si="2"/>
        <v>.PostscriptPst</v>
      </c>
    </row>
    <row r="58" spans="1:93" x14ac:dyDescent="0.25">
      <c r="A58" s="71" t="str">
        <f t="shared" si="0"/>
        <v>Dedication (Ded)</v>
      </c>
      <c r="C58" s="8" t="s">
        <v>236</v>
      </c>
      <c r="D58" s="8" t="s">
        <v>467</v>
      </c>
      <c r="E58" s="71" t="str">
        <f t="shared" si="3"/>
        <v>Dedication (Ded)</v>
      </c>
      <c r="F58" s="5">
        <v>55</v>
      </c>
      <c r="G58" s="8" t="b">
        <v>0</v>
      </c>
      <c r="H58" s="5">
        <v>1</v>
      </c>
      <c r="I58" s="5" t="s">
        <v>69</v>
      </c>
      <c r="J58" s="5">
        <v>11</v>
      </c>
      <c r="K58" s="8" t="b">
        <v>0</v>
      </c>
      <c r="L58" s="5" t="b">
        <v>0</v>
      </c>
      <c r="M58" s="6" t="s">
        <v>66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0</v>
      </c>
      <c r="Y58" s="5" t="b">
        <v>0</v>
      </c>
      <c r="Z58" s="5" t="b">
        <v>0</v>
      </c>
      <c r="AA58" s="8">
        <v>0</v>
      </c>
      <c r="AB58" s="8">
        <v>0</v>
      </c>
      <c r="AC58" s="8">
        <v>6</v>
      </c>
      <c r="AD58" s="8">
        <v>6</v>
      </c>
      <c r="AE58" s="8">
        <v>2</v>
      </c>
      <c r="AF58" s="8">
        <v>24</v>
      </c>
      <c r="AG58" s="8">
        <v>1</v>
      </c>
      <c r="AH58" s="8">
        <v>0</v>
      </c>
      <c r="AI58" s="8">
        <v>10</v>
      </c>
      <c r="AJ58" s="8" t="b">
        <v>0</v>
      </c>
      <c r="AK58" s="5" t="b">
        <v>0</v>
      </c>
      <c r="AL58" s="5" t="b">
        <v>0</v>
      </c>
      <c r="AM58" s="6" t="s">
        <v>66</v>
      </c>
      <c r="AN58" s="5">
        <v>0</v>
      </c>
      <c r="AO58" s="5">
        <v>6</v>
      </c>
      <c r="AP58" s="5" t="b">
        <v>1</v>
      </c>
      <c r="AQ58" s="24" t="s">
        <v>109</v>
      </c>
      <c r="AR58" s="5">
        <v>1</v>
      </c>
      <c r="AS58" s="5">
        <v>48</v>
      </c>
      <c r="AT58" s="5" t="b">
        <v>0</v>
      </c>
      <c r="AU58" s="6" t="s">
        <v>66</v>
      </c>
      <c r="AV58" s="5">
        <v>0</v>
      </c>
      <c r="AW58" s="5">
        <v>6</v>
      </c>
      <c r="AX58" s="5" t="b">
        <v>0</v>
      </c>
      <c r="AY58" s="6" t="s">
        <v>66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42" t="s">
        <v>66</v>
      </c>
      <c r="BJ58" s="70"/>
      <c r="BK58" s="5" t="s">
        <v>0</v>
      </c>
      <c r="BL58" s="5">
        <v>0</v>
      </c>
      <c r="BM58" s="5" t="b">
        <v>0</v>
      </c>
      <c r="CO58" s="64" t="str">
        <f t="shared" si="2"/>
        <v>.DedicationDed</v>
      </c>
    </row>
    <row r="59" spans="1:93" x14ac:dyDescent="0.25">
      <c r="A59" s="71" t="str">
        <f t="shared" si="0"/>
        <v>Text-Message (Tmg)</v>
      </c>
      <c r="C59" s="8" t="s">
        <v>468</v>
      </c>
      <c r="D59" s="8" t="s">
        <v>469</v>
      </c>
      <c r="E59" s="71" t="str">
        <f t="shared" si="3"/>
        <v>Text-Message (Tmg)</v>
      </c>
      <c r="F59" s="5">
        <v>56</v>
      </c>
      <c r="G59" s="8" t="b">
        <v>0</v>
      </c>
      <c r="H59" s="5">
        <v>1</v>
      </c>
      <c r="I59" s="5" t="s">
        <v>79</v>
      </c>
      <c r="J59" s="5">
        <v>11</v>
      </c>
      <c r="K59" s="8" t="b">
        <v>0</v>
      </c>
      <c r="L59" s="5" t="b">
        <v>0</v>
      </c>
      <c r="M59" s="6" t="s">
        <v>66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8">
        <v>0</v>
      </c>
      <c r="AB59" s="8">
        <v>0</v>
      </c>
      <c r="AC59" s="8">
        <v>6</v>
      </c>
      <c r="AD59" s="8">
        <v>6</v>
      </c>
      <c r="AE59" s="8">
        <v>2</v>
      </c>
      <c r="AF59" s="8">
        <v>24</v>
      </c>
      <c r="AG59" s="8">
        <v>1</v>
      </c>
      <c r="AH59" s="8">
        <v>0</v>
      </c>
      <c r="AI59" s="8">
        <v>10</v>
      </c>
      <c r="AJ59" s="8" t="b">
        <v>0</v>
      </c>
      <c r="AK59" s="5" t="b">
        <v>0</v>
      </c>
      <c r="AL59" s="5" t="b">
        <v>0</v>
      </c>
      <c r="AM59" s="6" t="s">
        <v>66</v>
      </c>
      <c r="AN59" s="5">
        <v>0</v>
      </c>
      <c r="AO59" s="5">
        <v>6</v>
      </c>
      <c r="AP59" s="5" t="b">
        <v>1</v>
      </c>
      <c r="AQ59" s="24" t="s">
        <v>109</v>
      </c>
      <c r="AR59" s="5">
        <v>1</v>
      </c>
      <c r="AS59" s="5">
        <v>48</v>
      </c>
      <c r="AT59" s="5" t="b">
        <v>0</v>
      </c>
      <c r="AU59" s="6" t="s">
        <v>66</v>
      </c>
      <c r="AV59" s="5">
        <v>0</v>
      </c>
      <c r="AW59" s="5">
        <v>6</v>
      </c>
      <c r="AX59" s="5" t="b">
        <v>0</v>
      </c>
      <c r="AY59" s="6" t="s">
        <v>66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42" t="s">
        <v>66</v>
      </c>
      <c r="BJ59" s="70"/>
      <c r="BK59" s="5" t="s">
        <v>0</v>
      </c>
      <c r="BL59" s="5">
        <v>0</v>
      </c>
      <c r="BM59" s="5" t="b">
        <v>0</v>
      </c>
      <c r="CO59" s="64" t="str">
        <f t="shared" si="2"/>
        <v>.Text-MessageTmg</v>
      </c>
    </row>
    <row r="60" spans="1:93" x14ac:dyDescent="0.25">
      <c r="A60" s="71" t="str">
        <f t="shared" si="0"/>
        <v>Bullet-Level-1-List (Bl-1)</v>
      </c>
      <c r="C60" s="8" t="s">
        <v>470</v>
      </c>
      <c r="D60" s="8" t="s">
        <v>471</v>
      </c>
      <c r="E60" s="71" t="str">
        <f t="shared" si="3"/>
        <v>Bullet-Level-1-List (Bl-1)</v>
      </c>
      <c r="F60" s="5">
        <v>57</v>
      </c>
      <c r="G60" s="8" t="b">
        <v>1</v>
      </c>
      <c r="H60" s="5">
        <v>1</v>
      </c>
      <c r="I60" s="5" t="s">
        <v>69</v>
      </c>
      <c r="J60" s="5">
        <v>11</v>
      </c>
      <c r="K60" s="8" t="b">
        <v>0</v>
      </c>
      <c r="L60" s="5" t="b">
        <v>0</v>
      </c>
      <c r="M60" s="6" t="s">
        <v>66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1</v>
      </c>
      <c r="Z60" s="5" t="b">
        <v>0</v>
      </c>
      <c r="AA60" s="8">
        <v>0</v>
      </c>
      <c r="AB60" s="8">
        <v>0</v>
      </c>
      <c r="AC60" s="8">
        <v>6</v>
      </c>
      <c r="AD60" s="8">
        <v>6</v>
      </c>
      <c r="AE60" s="8">
        <v>2</v>
      </c>
      <c r="AF60" s="8">
        <v>24</v>
      </c>
      <c r="AG60" s="8">
        <v>0</v>
      </c>
      <c r="AH60" s="8">
        <v>-18</v>
      </c>
      <c r="AI60" s="8">
        <v>10</v>
      </c>
      <c r="AJ60" s="8" t="b">
        <v>0</v>
      </c>
      <c r="AK60" s="5" t="b">
        <v>0</v>
      </c>
      <c r="AL60" s="5" t="b">
        <v>0</v>
      </c>
      <c r="AM60" s="6" t="s">
        <v>66</v>
      </c>
      <c r="AN60" s="5">
        <v>0</v>
      </c>
      <c r="AO60" s="5">
        <v>6</v>
      </c>
      <c r="AP60" s="5" t="b">
        <v>1</v>
      </c>
      <c r="AQ60" s="24" t="s">
        <v>109</v>
      </c>
      <c r="AR60" s="5">
        <v>1</v>
      </c>
      <c r="AS60" s="5">
        <v>48</v>
      </c>
      <c r="AT60" s="5" t="b">
        <v>0</v>
      </c>
      <c r="AU60" s="6" t="s">
        <v>66</v>
      </c>
      <c r="AV60" s="5">
        <v>0</v>
      </c>
      <c r="AW60" s="5">
        <v>6</v>
      </c>
      <c r="AX60" s="5" t="b">
        <v>0</v>
      </c>
      <c r="AY60" s="6" t="s">
        <v>66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42" t="s">
        <v>66</v>
      </c>
      <c r="BJ60" s="70"/>
      <c r="BK60" s="5" t="s">
        <v>0</v>
      </c>
      <c r="BL60" s="5">
        <v>0</v>
      </c>
      <c r="BM60" s="5" t="b">
        <v>0</v>
      </c>
      <c r="CO60" s="64" t="str">
        <f t="shared" si="2"/>
        <v>.Bullet-Level-1-ListBl-1</v>
      </c>
    </row>
    <row r="61" spans="1:93" x14ac:dyDescent="0.25">
      <c r="A61" s="71" t="str">
        <f t="shared" si="0"/>
        <v>Bullet-Level-2-List (Bl-2)</v>
      </c>
      <c r="C61" s="8" t="s">
        <v>472</v>
      </c>
      <c r="D61" s="8" t="s">
        <v>473</v>
      </c>
      <c r="E61" s="71" t="str">
        <f t="shared" si="3"/>
        <v>Bullet-Level-2-List (Bl-2)</v>
      </c>
      <c r="F61" s="5">
        <v>58</v>
      </c>
      <c r="G61" s="8" t="b">
        <v>0</v>
      </c>
      <c r="H61" s="5">
        <v>1</v>
      </c>
      <c r="I61" s="5" t="s">
        <v>69</v>
      </c>
      <c r="J61" s="5">
        <v>11</v>
      </c>
      <c r="K61" s="8" t="b">
        <v>0</v>
      </c>
      <c r="L61" s="5" t="b">
        <v>0</v>
      </c>
      <c r="M61" s="6" t="s">
        <v>66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1</v>
      </c>
      <c r="Z61" s="5" t="b">
        <v>0</v>
      </c>
      <c r="AA61" s="8">
        <v>0</v>
      </c>
      <c r="AB61" s="8">
        <v>0</v>
      </c>
      <c r="AC61" s="8">
        <v>6</v>
      </c>
      <c r="AD61" s="8">
        <v>6</v>
      </c>
      <c r="AE61" s="8">
        <v>2</v>
      </c>
      <c r="AF61" s="8">
        <v>24</v>
      </c>
      <c r="AG61" s="8">
        <v>0</v>
      </c>
      <c r="AH61" s="8">
        <v>-18</v>
      </c>
      <c r="AI61" s="8">
        <v>10</v>
      </c>
      <c r="AJ61" s="8" t="b">
        <v>0</v>
      </c>
      <c r="AK61" s="5" t="b">
        <v>0</v>
      </c>
      <c r="AL61" s="5" t="b">
        <v>0</v>
      </c>
      <c r="AM61" s="6" t="s">
        <v>66</v>
      </c>
      <c r="AN61" s="5">
        <v>0</v>
      </c>
      <c r="AO61" s="5">
        <v>6</v>
      </c>
      <c r="AP61" s="5" t="b">
        <v>1</v>
      </c>
      <c r="AQ61" s="24" t="s">
        <v>109</v>
      </c>
      <c r="AR61" s="5">
        <v>1</v>
      </c>
      <c r="AS61" s="5">
        <v>48</v>
      </c>
      <c r="AT61" s="5" t="b">
        <v>0</v>
      </c>
      <c r="AU61" s="6" t="s">
        <v>66</v>
      </c>
      <c r="AV61" s="5">
        <v>0</v>
      </c>
      <c r="AW61" s="5">
        <v>6</v>
      </c>
      <c r="AX61" s="5" t="b">
        <v>0</v>
      </c>
      <c r="AY61" s="6" t="s">
        <v>66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42" t="s">
        <v>66</v>
      </c>
      <c r="BJ61" s="70"/>
      <c r="BK61" s="5" t="s">
        <v>0</v>
      </c>
      <c r="BL61" s="5">
        <v>0</v>
      </c>
      <c r="BM61" s="5" t="b">
        <v>0</v>
      </c>
      <c r="CO61" s="64" t="str">
        <f t="shared" si="2"/>
        <v>.Bullet-Level-2-ListBl-2</v>
      </c>
    </row>
    <row r="62" spans="1:93" x14ac:dyDescent="0.25">
      <c r="A62" s="71" t="str">
        <f t="shared" si="0"/>
        <v>Bullet-Level-3-List (Bl-3)</v>
      </c>
      <c r="C62" s="8" t="s">
        <v>474</v>
      </c>
      <c r="D62" s="8" t="s">
        <v>475</v>
      </c>
      <c r="E62" s="71" t="str">
        <f t="shared" si="3"/>
        <v>Bullet-Level-3-List (Bl-3)</v>
      </c>
      <c r="F62" s="5">
        <v>59</v>
      </c>
      <c r="G62" s="8" t="b">
        <v>0</v>
      </c>
      <c r="H62" s="5">
        <v>1</v>
      </c>
      <c r="I62" s="5" t="s">
        <v>69</v>
      </c>
      <c r="J62" s="5">
        <v>11</v>
      </c>
      <c r="K62" s="8" t="b">
        <v>0</v>
      </c>
      <c r="L62" s="5" t="b">
        <v>0</v>
      </c>
      <c r="M62" s="6" t="s">
        <v>66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1</v>
      </c>
      <c r="Z62" s="5" t="b">
        <v>0</v>
      </c>
      <c r="AA62" s="8">
        <v>0</v>
      </c>
      <c r="AB62" s="8">
        <v>0</v>
      </c>
      <c r="AC62" s="8">
        <v>6</v>
      </c>
      <c r="AD62" s="8">
        <v>6</v>
      </c>
      <c r="AE62" s="8">
        <v>2</v>
      </c>
      <c r="AF62" s="8">
        <v>24</v>
      </c>
      <c r="AG62" s="8">
        <v>0</v>
      </c>
      <c r="AH62" s="8">
        <v>-18</v>
      </c>
      <c r="AI62" s="8">
        <v>10</v>
      </c>
      <c r="AJ62" s="8" t="b">
        <v>0</v>
      </c>
      <c r="AK62" s="5" t="b">
        <v>0</v>
      </c>
      <c r="AL62" s="5" t="b">
        <v>0</v>
      </c>
      <c r="AM62" s="6" t="s">
        <v>66</v>
      </c>
      <c r="AN62" s="5">
        <v>0</v>
      </c>
      <c r="AO62" s="5">
        <v>6</v>
      </c>
      <c r="AP62" s="5" t="b">
        <v>1</v>
      </c>
      <c r="AQ62" s="24" t="s">
        <v>109</v>
      </c>
      <c r="AR62" s="5">
        <v>1</v>
      </c>
      <c r="AS62" s="5">
        <v>48</v>
      </c>
      <c r="AT62" s="5" t="b">
        <v>0</v>
      </c>
      <c r="AU62" s="6" t="s">
        <v>66</v>
      </c>
      <c r="AV62" s="5">
        <v>0</v>
      </c>
      <c r="AW62" s="5">
        <v>6</v>
      </c>
      <c r="AX62" s="5" t="b">
        <v>0</v>
      </c>
      <c r="AY62" s="6" t="s">
        <v>66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42" t="s">
        <v>66</v>
      </c>
      <c r="BJ62" s="70"/>
      <c r="BK62" s="5" t="s">
        <v>0</v>
      </c>
      <c r="BL62" s="5">
        <v>0</v>
      </c>
      <c r="BM62" s="5" t="b">
        <v>0</v>
      </c>
      <c r="CO62" s="64" t="str">
        <f t="shared" si="2"/>
        <v>.Bullet-Level-3-ListBl-3</v>
      </c>
    </row>
    <row r="63" spans="1:93" x14ac:dyDescent="0.25">
      <c r="A63" s="71" t="str">
        <f t="shared" si="0"/>
        <v>Num-Level-1-List (Nl-1)</v>
      </c>
      <c r="C63" s="8" t="s">
        <v>476</v>
      </c>
      <c r="D63" s="8" t="s">
        <v>477</v>
      </c>
      <c r="E63" s="71" t="str">
        <f t="shared" si="3"/>
        <v>Num-Level-1-List (Nl-1)</v>
      </c>
      <c r="F63" s="5">
        <v>60</v>
      </c>
      <c r="G63" s="8" t="b">
        <v>1</v>
      </c>
      <c r="H63" s="5">
        <v>1</v>
      </c>
      <c r="I63" s="5" t="s">
        <v>69</v>
      </c>
      <c r="J63" s="5">
        <v>11</v>
      </c>
      <c r="K63" s="8" t="b">
        <v>0</v>
      </c>
      <c r="L63" s="5" t="b">
        <v>0</v>
      </c>
      <c r="M63" s="6" t="s">
        <v>66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8">
        <v>0</v>
      </c>
      <c r="AB63" s="8">
        <v>0</v>
      </c>
      <c r="AC63" s="8">
        <v>6</v>
      </c>
      <c r="AD63" s="8">
        <v>6</v>
      </c>
      <c r="AE63" s="8">
        <v>2</v>
      </c>
      <c r="AF63" s="8">
        <v>24</v>
      </c>
      <c r="AG63" s="8">
        <v>0</v>
      </c>
      <c r="AH63" s="8">
        <v>-18</v>
      </c>
      <c r="AI63" s="8">
        <v>10</v>
      </c>
      <c r="AJ63" s="8" t="b">
        <v>0</v>
      </c>
      <c r="AK63" s="5" t="b">
        <v>0</v>
      </c>
      <c r="AL63" s="5" t="b">
        <v>0</v>
      </c>
      <c r="AM63" s="6" t="s">
        <v>66</v>
      </c>
      <c r="AN63" s="5">
        <v>0</v>
      </c>
      <c r="AO63" s="5">
        <v>6</v>
      </c>
      <c r="AP63" s="5" t="b">
        <v>1</v>
      </c>
      <c r="AQ63" s="24" t="s">
        <v>109</v>
      </c>
      <c r="AR63" s="5">
        <v>1</v>
      </c>
      <c r="AS63" s="5">
        <v>48</v>
      </c>
      <c r="AT63" s="5" t="b">
        <v>0</v>
      </c>
      <c r="AU63" s="6" t="s">
        <v>66</v>
      </c>
      <c r="AV63" s="5">
        <v>0</v>
      </c>
      <c r="AW63" s="5">
        <v>6</v>
      </c>
      <c r="AX63" s="5" t="b">
        <v>0</v>
      </c>
      <c r="AY63" s="6" t="s">
        <v>66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42" t="s">
        <v>66</v>
      </c>
      <c r="BJ63" s="70"/>
      <c r="BK63" s="5" t="s">
        <v>0</v>
      </c>
      <c r="BL63" s="5">
        <v>0</v>
      </c>
      <c r="BM63" s="5" t="b">
        <v>0</v>
      </c>
      <c r="CO63" s="64" t="str">
        <f t="shared" si="2"/>
        <v>.Num-Level-1-ListNl-1</v>
      </c>
    </row>
    <row r="64" spans="1:93" x14ac:dyDescent="0.25">
      <c r="A64" s="71" t="str">
        <f t="shared" si="0"/>
        <v>Num-Level-2-List (Nl-2)</v>
      </c>
      <c r="C64" s="8" t="s">
        <v>478</v>
      </c>
      <c r="D64" s="8" t="s">
        <v>479</v>
      </c>
      <c r="E64" s="71" t="str">
        <f t="shared" si="3"/>
        <v>Num-Level-2-List (Nl-2)</v>
      </c>
      <c r="F64" s="5">
        <v>61</v>
      </c>
      <c r="G64" s="8" t="b">
        <v>0</v>
      </c>
      <c r="H64" s="5">
        <v>1</v>
      </c>
      <c r="I64" s="5" t="s">
        <v>69</v>
      </c>
      <c r="J64" s="5">
        <v>11</v>
      </c>
      <c r="K64" s="8" t="b">
        <v>0</v>
      </c>
      <c r="L64" s="5" t="b">
        <v>0</v>
      </c>
      <c r="M64" s="6" t="s">
        <v>66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8">
        <v>0</v>
      </c>
      <c r="AB64" s="8">
        <v>0</v>
      </c>
      <c r="AC64" s="8">
        <v>6</v>
      </c>
      <c r="AD64" s="8">
        <v>6</v>
      </c>
      <c r="AE64" s="8">
        <v>2</v>
      </c>
      <c r="AF64" s="8">
        <v>24</v>
      </c>
      <c r="AG64" s="8">
        <v>0</v>
      </c>
      <c r="AH64" s="8">
        <v>-18</v>
      </c>
      <c r="AI64" s="8">
        <v>10</v>
      </c>
      <c r="AJ64" s="8" t="b">
        <v>0</v>
      </c>
      <c r="AK64" s="5" t="b">
        <v>0</v>
      </c>
      <c r="AL64" s="5" t="b">
        <v>0</v>
      </c>
      <c r="AM64" s="6" t="s">
        <v>66</v>
      </c>
      <c r="AN64" s="5">
        <v>0</v>
      </c>
      <c r="AO64" s="5">
        <v>6</v>
      </c>
      <c r="AP64" s="5" t="b">
        <v>1</v>
      </c>
      <c r="AQ64" s="24" t="s">
        <v>109</v>
      </c>
      <c r="AR64" s="5">
        <v>1</v>
      </c>
      <c r="AS64" s="5">
        <v>48</v>
      </c>
      <c r="AT64" s="5" t="b">
        <v>0</v>
      </c>
      <c r="AU64" s="6" t="s">
        <v>66</v>
      </c>
      <c r="AV64" s="5">
        <v>0</v>
      </c>
      <c r="AW64" s="5">
        <v>6</v>
      </c>
      <c r="AX64" s="5" t="b">
        <v>0</v>
      </c>
      <c r="AY64" s="6" t="s">
        <v>66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42" t="s">
        <v>66</v>
      </c>
      <c r="BJ64" s="70"/>
      <c r="BK64" s="5" t="s">
        <v>0</v>
      </c>
      <c r="BL64" s="5">
        <v>0</v>
      </c>
      <c r="BM64" s="5" t="b">
        <v>0</v>
      </c>
      <c r="CO64" s="64" t="str">
        <f t="shared" si="2"/>
        <v>.Num-Level-2-ListNl-2</v>
      </c>
    </row>
    <row r="65" spans="1:93" x14ac:dyDescent="0.25">
      <c r="A65" s="71" t="str">
        <f t="shared" si="0"/>
        <v>Num-Level-3-List (Nl-3)</v>
      </c>
      <c r="C65" s="8" t="s">
        <v>480</v>
      </c>
      <c r="D65" s="8" t="s">
        <v>481</v>
      </c>
      <c r="E65" s="71" t="str">
        <f t="shared" si="3"/>
        <v>Num-Level-3-List (Nl-3)</v>
      </c>
      <c r="F65" s="5">
        <v>62</v>
      </c>
      <c r="G65" s="8" t="b">
        <v>0</v>
      </c>
      <c r="H65" s="5">
        <v>1</v>
      </c>
      <c r="I65" s="5" t="s">
        <v>69</v>
      </c>
      <c r="J65" s="5">
        <v>11</v>
      </c>
      <c r="K65" s="8" t="b">
        <v>0</v>
      </c>
      <c r="L65" s="5" t="b">
        <v>0</v>
      </c>
      <c r="M65" s="6" t="s">
        <v>66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1</v>
      </c>
      <c r="Y65" s="5" t="b">
        <v>0</v>
      </c>
      <c r="Z65" s="5" t="b">
        <v>0</v>
      </c>
      <c r="AA65" s="8">
        <v>0</v>
      </c>
      <c r="AB65" s="8">
        <v>0</v>
      </c>
      <c r="AC65" s="8">
        <v>6</v>
      </c>
      <c r="AD65" s="8">
        <v>6</v>
      </c>
      <c r="AE65" s="8">
        <v>2</v>
      </c>
      <c r="AF65" s="8">
        <v>24</v>
      </c>
      <c r="AG65" s="8">
        <v>0</v>
      </c>
      <c r="AH65" s="8">
        <v>-18</v>
      </c>
      <c r="AI65" s="8">
        <v>10</v>
      </c>
      <c r="AJ65" s="8" t="b">
        <v>0</v>
      </c>
      <c r="AK65" s="5" t="b">
        <v>0</v>
      </c>
      <c r="AL65" s="5" t="b">
        <v>0</v>
      </c>
      <c r="AM65" s="6" t="s">
        <v>66</v>
      </c>
      <c r="AN65" s="5">
        <v>0</v>
      </c>
      <c r="AO65" s="5">
        <v>6</v>
      </c>
      <c r="AP65" s="5" t="b">
        <v>1</v>
      </c>
      <c r="AQ65" s="24" t="s">
        <v>109</v>
      </c>
      <c r="AR65" s="5">
        <v>1</v>
      </c>
      <c r="AS65" s="5">
        <v>48</v>
      </c>
      <c r="AT65" s="5" t="b">
        <v>0</v>
      </c>
      <c r="AU65" s="6" t="s">
        <v>66</v>
      </c>
      <c r="AV65" s="5">
        <v>0</v>
      </c>
      <c r="AW65" s="5">
        <v>6</v>
      </c>
      <c r="AX65" s="5" t="b">
        <v>0</v>
      </c>
      <c r="AY65" s="6" t="s">
        <v>66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42" t="s">
        <v>66</v>
      </c>
      <c r="BJ65" s="70"/>
      <c r="BK65" s="5" t="s">
        <v>0</v>
      </c>
      <c r="BL65" s="5">
        <v>0</v>
      </c>
      <c r="BM65" s="5" t="b">
        <v>0</v>
      </c>
      <c r="CO65" s="64" t="str">
        <f t="shared" ref="CO65:CO96" si="4">"."&amp;SUBSTITUTE(SUBSTITUTE(SUBSTITUTE(SUBSTITUTE(A65, "(",""),")","")," ",""),"#","")</f>
        <v>.Num-Level-3-ListNl-3</v>
      </c>
    </row>
    <row r="66" spans="1:93" x14ac:dyDescent="0.25">
      <c r="A66" s="71" t="str">
        <f t="shared" si="0"/>
        <v>Unnum-Level-1-List (Ul-1)</v>
      </c>
      <c r="C66" s="8" t="s">
        <v>482</v>
      </c>
      <c r="D66" s="8" t="s">
        <v>483</v>
      </c>
      <c r="E66" s="71" t="str">
        <f t="shared" si="3"/>
        <v>Unnum-Level-1-List (Ul-1)</v>
      </c>
      <c r="F66" s="5">
        <v>63</v>
      </c>
      <c r="G66" s="8" t="b">
        <v>1</v>
      </c>
      <c r="H66" s="5">
        <v>1</v>
      </c>
      <c r="I66" s="5" t="s">
        <v>69</v>
      </c>
      <c r="J66" s="5">
        <v>11</v>
      </c>
      <c r="K66" s="8" t="b">
        <v>0</v>
      </c>
      <c r="L66" s="5" t="b">
        <v>0</v>
      </c>
      <c r="M66" s="6" t="s">
        <v>66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1</v>
      </c>
      <c r="Y66" s="5" t="b">
        <v>0</v>
      </c>
      <c r="Z66" s="5" t="b">
        <v>0</v>
      </c>
      <c r="AA66" s="8">
        <v>0</v>
      </c>
      <c r="AB66" s="8">
        <v>0</v>
      </c>
      <c r="AC66" s="8">
        <v>6</v>
      </c>
      <c r="AD66" s="8">
        <v>6</v>
      </c>
      <c r="AE66" s="8">
        <v>2</v>
      </c>
      <c r="AF66" s="8">
        <v>24</v>
      </c>
      <c r="AG66" s="8">
        <v>0</v>
      </c>
      <c r="AH66" s="8">
        <v>-18</v>
      </c>
      <c r="AI66" s="8">
        <v>10</v>
      </c>
      <c r="AJ66" s="8" t="b">
        <v>0</v>
      </c>
      <c r="AK66" s="5" t="b">
        <v>0</v>
      </c>
      <c r="AL66" s="5" t="b">
        <v>0</v>
      </c>
      <c r="AM66" s="6" t="s">
        <v>66</v>
      </c>
      <c r="AN66" s="5">
        <v>0</v>
      </c>
      <c r="AO66" s="5">
        <v>6</v>
      </c>
      <c r="AP66" s="5" t="b">
        <v>1</v>
      </c>
      <c r="AQ66" s="24" t="s">
        <v>109</v>
      </c>
      <c r="AR66" s="5">
        <v>1</v>
      </c>
      <c r="AS66" s="5">
        <v>48</v>
      </c>
      <c r="AT66" s="5" t="b">
        <v>0</v>
      </c>
      <c r="AU66" s="6" t="s">
        <v>66</v>
      </c>
      <c r="AV66" s="5">
        <v>0</v>
      </c>
      <c r="AW66" s="5">
        <v>6</v>
      </c>
      <c r="AX66" s="5" t="b">
        <v>0</v>
      </c>
      <c r="AY66" s="6" t="s">
        <v>66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42" t="s">
        <v>66</v>
      </c>
      <c r="BJ66" s="70"/>
      <c r="BK66" s="5" t="s">
        <v>0</v>
      </c>
      <c r="BL66" s="5">
        <v>0</v>
      </c>
      <c r="BM66" s="5" t="b">
        <v>0</v>
      </c>
      <c r="CO66" s="64" t="str">
        <f t="shared" si="4"/>
        <v>.Unnum-Level-1-ListUl-1</v>
      </c>
    </row>
    <row r="67" spans="1:93" x14ac:dyDescent="0.25">
      <c r="A67" s="71" t="str">
        <f t="shared" si="0"/>
        <v>Unnum-Level-2-List (Ul-2)</v>
      </c>
      <c r="C67" s="8" t="s">
        <v>484</v>
      </c>
      <c r="D67" s="8" t="s">
        <v>485</v>
      </c>
      <c r="E67" s="71" t="str">
        <f t="shared" si="3"/>
        <v>Unnum-Level-2-List (Ul-2)</v>
      </c>
      <c r="F67" s="5">
        <v>64</v>
      </c>
      <c r="G67" s="8" t="b">
        <v>0</v>
      </c>
      <c r="H67" s="5">
        <v>1</v>
      </c>
      <c r="I67" s="5" t="s">
        <v>69</v>
      </c>
      <c r="J67" s="5">
        <v>11</v>
      </c>
      <c r="K67" s="8" t="b">
        <v>0</v>
      </c>
      <c r="L67" s="5" t="b">
        <v>0</v>
      </c>
      <c r="M67" s="6" t="s">
        <v>66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8">
        <v>0</v>
      </c>
      <c r="AB67" s="8">
        <v>0</v>
      </c>
      <c r="AC67" s="8">
        <v>6</v>
      </c>
      <c r="AD67" s="8">
        <v>6</v>
      </c>
      <c r="AE67" s="8">
        <v>2</v>
      </c>
      <c r="AF67" s="8">
        <v>24</v>
      </c>
      <c r="AG67" s="8">
        <v>0</v>
      </c>
      <c r="AH67" s="8">
        <v>-18</v>
      </c>
      <c r="AI67" s="8">
        <v>10</v>
      </c>
      <c r="AJ67" s="8" t="b">
        <v>0</v>
      </c>
      <c r="AK67" s="5" t="b">
        <v>0</v>
      </c>
      <c r="AL67" s="5" t="b">
        <v>0</v>
      </c>
      <c r="AM67" s="6" t="s">
        <v>66</v>
      </c>
      <c r="AN67" s="5">
        <v>0</v>
      </c>
      <c r="AO67" s="5">
        <v>6</v>
      </c>
      <c r="AP67" s="5" t="b">
        <v>1</v>
      </c>
      <c r="AQ67" s="24" t="s">
        <v>109</v>
      </c>
      <c r="AR67" s="5">
        <v>1</v>
      </c>
      <c r="AS67" s="5">
        <v>48</v>
      </c>
      <c r="AT67" s="5" t="b">
        <v>0</v>
      </c>
      <c r="AU67" s="6" t="s">
        <v>66</v>
      </c>
      <c r="AV67" s="5">
        <v>0</v>
      </c>
      <c r="AW67" s="5">
        <v>6</v>
      </c>
      <c r="AX67" s="5" t="b">
        <v>0</v>
      </c>
      <c r="AY67" s="6" t="s">
        <v>66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42" t="s">
        <v>66</v>
      </c>
      <c r="BJ67" s="70"/>
      <c r="BK67" s="5" t="s">
        <v>0</v>
      </c>
      <c r="BL67" s="5">
        <v>0</v>
      </c>
      <c r="BM67" s="5" t="b">
        <v>0</v>
      </c>
      <c r="CO67" s="64" t="str">
        <f t="shared" si="4"/>
        <v>.Unnum-Level-2-ListUl-2</v>
      </c>
    </row>
    <row r="68" spans="1:93" x14ac:dyDescent="0.25">
      <c r="A68" s="71" t="str">
        <f t="shared" ref="A68:A122" si="5">IF($D68="","",TRIM($C68)&amp;" "&amp;CHAR(40)&amp;TRIM($D68)&amp;CHAR(41))</f>
        <v>Unnum-Level-3-List (Ul-3)</v>
      </c>
      <c r="C68" s="8" t="s">
        <v>486</v>
      </c>
      <c r="D68" s="8" t="s">
        <v>487</v>
      </c>
      <c r="E68" s="71" t="str">
        <f t="shared" si="3"/>
        <v>Unnum-Level-3-List (Ul-3)</v>
      </c>
      <c r="F68" s="5">
        <v>65</v>
      </c>
      <c r="G68" s="8" t="b">
        <v>0</v>
      </c>
      <c r="H68" s="5">
        <v>1</v>
      </c>
      <c r="I68" s="5" t="s">
        <v>69</v>
      </c>
      <c r="J68" s="5">
        <v>11</v>
      </c>
      <c r="K68" s="8" t="b">
        <v>0</v>
      </c>
      <c r="L68" s="5" t="b">
        <v>0</v>
      </c>
      <c r="M68" s="6" t="s">
        <v>66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8">
        <v>0</v>
      </c>
      <c r="AB68" s="8">
        <v>0</v>
      </c>
      <c r="AC68" s="8">
        <v>6</v>
      </c>
      <c r="AD68" s="8">
        <v>6</v>
      </c>
      <c r="AE68" s="8">
        <v>2</v>
      </c>
      <c r="AF68" s="8">
        <v>24</v>
      </c>
      <c r="AG68" s="8">
        <v>0</v>
      </c>
      <c r="AH68" s="8">
        <v>-18</v>
      </c>
      <c r="AI68" s="8">
        <v>10</v>
      </c>
      <c r="AJ68" s="8" t="b">
        <v>0</v>
      </c>
      <c r="AK68" s="5" t="b">
        <v>0</v>
      </c>
      <c r="AL68" s="5" t="b">
        <v>0</v>
      </c>
      <c r="AM68" s="6" t="s">
        <v>66</v>
      </c>
      <c r="AN68" s="5">
        <v>0</v>
      </c>
      <c r="AO68" s="5">
        <v>6</v>
      </c>
      <c r="AP68" s="5" t="b">
        <v>1</v>
      </c>
      <c r="AQ68" s="24" t="s">
        <v>109</v>
      </c>
      <c r="AR68" s="5">
        <v>1</v>
      </c>
      <c r="AS68" s="5">
        <v>48</v>
      </c>
      <c r="AT68" s="5" t="b">
        <v>0</v>
      </c>
      <c r="AU68" s="6" t="s">
        <v>66</v>
      </c>
      <c r="AV68" s="5">
        <v>0</v>
      </c>
      <c r="AW68" s="5">
        <v>6</v>
      </c>
      <c r="AX68" s="5" t="b">
        <v>0</v>
      </c>
      <c r="AY68" s="6" t="s">
        <v>66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42" t="s">
        <v>66</v>
      </c>
      <c r="BJ68" s="70"/>
      <c r="BK68" s="5" t="s">
        <v>0</v>
      </c>
      <c r="BL68" s="5">
        <v>0</v>
      </c>
      <c r="BM68" s="5" t="b">
        <v>0</v>
      </c>
      <c r="CO68" s="64" t="str">
        <f t="shared" si="4"/>
        <v>.Unnum-Level-3-ListUl-3</v>
      </c>
    </row>
    <row r="69" spans="1:93" x14ac:dyDescent="0.25">
      <c r="A69" s="71" t="str">
        <f t="shared" si="5"/>
        <v>Alpha--Level-1-List (Al-1)</v>
      </c>
      <c r="C69" s="8" t="s">
        <v>488</v>
      </c>
      <c r="D69" s="8" t="s">
        <v>489</v>
      </c>
      <c r="E69" s="71" t="str">
        <f t="shared" si="3"/>
        <v>Alpha--Level-1-List (Al-1)</v>
      </c>
      <c r="F69" s="5">
        <v>66</v>
      </c>
      <c r="G69" s="8" t="b">
        <v>0</v>
      </c>
      <c r="H69" s="5">
        <v>1</v>
      </c>
      <c r="I69" s="5" t="s">
        <v>69</v>
      </c>
      <c r="J69" s="5">
        <v>11</v>
      </c>
      <c r="K69" s="8" t="b">
        <v>0</v>
      </c>
      <c r="L69" s="5" t="b">
        <v>0</v>
      </c>
      <c r="M69" s="6" t="s">
        <v>66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8">
        <v>0</v>
      </c>
      <c r="AB69" s="8">
        <v>0</v>
      </c>
      <c r="AC69" s="8">
        <v>6</v>
      </c>
      <c r="AD69" s="8">
        <v>6</v>
      </c>
      <c r="AE69" s="8">
        <v>2</v>
      </c>
      <c r="AF69" s="8">
        <v>24</v>
      </c>
      <c r="AG69" s="8">
        <v>0</v>
      </c>
      <c r="AH69" s="8">
        <v>-18</v>
      </c>
      <c r="AI69" s="8">
        <v>10</v>
      </c>
      <c r="AJ69" s="8" t="b">
        <v>0</v>
      </c>
      <c r="AK69" s="5" t="b">
        <v>0</v>
      </c>
      <c r="AL69" s="5" t="b">
        <v>0</v>
      </c>
      <c r="AM69" s="6" t="s">
        <v>66</v>
      </c>
      <c r="AN69" s="5">
        <v>0</v>
      </c>
      <c r="AO69" s="5">
        <v>6</v>
      </c>
      <c r="AP69" s="5" t="b">
        <v>1</v>
      </c>
      <c r="AQ69" s="24" t="s">
        <v>109</v>
      </c>
      <c r="AR69" s="5">
        <v>1</v>
      </c>
      <c r="AS69" s="5">
        <v>48</v>
      </c>
      <c r="AT69" s="5" t="b">
        <v>0</v>
      </c>
      <c r="AU69" s="6" t="s">
        <v>66</v>
      </c>
      <c r="AV69" s="5">
        <v>0</v>
      </c>
      <c r="AW69" s="5">
        <v>6</v>
      </c>
      <c r="AX69" s="5" t="b">
        <v>0</v>
      </c>
      <c r="AY69" s="6" t="s">
        <v>66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42" t="s">
        <v>66</v>
      </c>
      <c r="BJ69" s="70"/>
      <c r="BK69" s="5" t="s">
        <v>0</v>
      </c>
      <c r="BL69" s="5">
        <v>0</v>
      </c>
      <c r="BM69" s="5" t="b">
        <v>0</v>
      </c>
      <c r="CO69" s="64" t="str">
        <f t="shared" si="4"/>
        <v>.Alpha--Level-1-ListAl-1</v>
      </c>
    </row>
    <row r="70" spans="1:93" x14ac:dyDescent="0.25">
      <c r="A70" s="71" t="str">
        <f t="shared" si="5"/>
        <v>Alpha--Level-2-List (Al-2)</v>
      </c>
      <c r="C70" s="8" t="s">
        <v>490</v>
      </c>
      <c r="D70" s="8" t="s">
        <v>491</v>
      </c>
      <c r="E70" s="71" t="str">
        <f t="shared" si="3"/>
        <v>Alpha--Level-2-List (Al-2)</v>
      </c>
      <c r="F70" s="5">
        <v>67</v>
      </c>
      <c r="G70" s="8" t="b">
        <v>0</v>
      </c>
      <c r="H70" s="5">
        <v>1</v>
      </c>
      <c r="I70" s="5" t="s">
        <v>69</v>
      </c>
      <c r="J70" s="5">
        <v>11</v>
      </c>
      <c r="K70" s="8" t="b">
        <v>0</v>
      </c>
      <c r="L70" s="5" t="b">
        <v>0</v>
      </c>
      <c r="M70" s="6" t="s">
        <v>66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1</v>
      </c>
      <c r="Y70" s="5" t="b">
        <v>0</v>
      </c>
      <c r="Z70" s="5" t="b">
        <v>0</v>
      </c>
      <c r="AA70" s="8">
        <v>0</v>
      </c>
      <c r="AB70" s="8">
        <v>0</v>
      </c>
      <c r="AC70" s="8">
        <v>6</v>
      </c>
      <c r="AD70" s="8">
        <v>6</v>
      </c>
      <c r="AE70" s="8">
        <v>2</v>
      </c>
      <c r="AF70" s="8">
        <v>24</v>
      </c>
      <c r="AG70" s="8">
        <v>0</v>
      </c>
      <c r="AH70" s="8">
        <v>-18</v>
      </c>
      <c r="AI70" s="8">
        <v>10</v>
      </c>
      <c r="AJ70" s="8" t="b">
        <v>0</v>
      </c>
      <c r="AK70" s="5" t="b">
        <v>0</v>
      </c>
      <c r="AL70" s="5" t="b">
        <v>0</v>
      </c>
      <c r="AM70" s="6" t="s">
        <v>66</v>
      </c>
      <c r="AN70" s="5">
        <v>0</v>
      </c>
      <c r="AO70" s="5">
        <v>6</v>
      </c>
      <c r="AP70" s="5" t="b">
        <v>1</v>
      </c>
      <c r="AQ70" s="24" t="s">
        <v>109</v>
      </c>
      <c r="AR70" s="5">
        <v>1</v>
      </c>
      <c r="AS70" s="5">
        <v>48</v>
      </c>
      <c r="AT70" s="5" t="b">
        <v>0</v>
      </c>
      <c r="AU70" s="6" t="s">
        <v>66</v>
      </c>
      <c r="AV70" s="5">
        <v>0</v>
      </c>
      <c r="AW70" s="5">
        <v>6</v>
      </c>
      <c r="AX70" s="5" t="b">
        <v>0</v>
      </c>
      <c r="AY70" s="6" t="s">
        <v>66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42" t="s">
        <v>66</v>
      </c>
      <c r="BJ70" s="70"/>
      <c r="BK70" s="5" t="s">
        <v>0</v>
      </c>
      <c r="BL70" s="5">
        <v>0</v>
      </c>
      <c r="BM70" s="5" t="b">
        <v>0</v>
      </c>
      <c r="CO70" s="64" t="str">
        <f t="shared" si="4"/>
        <v>.Alpha--Level-2-ListAl-2</v>
      </c>
    </row>
    <row r="71" spans="1:93" x14ac:dyDescent="0.25">
      <c r="A71" s="71" t="str">
        <f t="shared" si="5"/>
        <v>Alpha--Level-3-List (Al-3)</v>
      </c>
      <c r="C71" s="8" t="s">
        <v>492</v>
      </c>
      <c r="D71" s="8" t="s">
        <v>493</v>
      </c>
      <c r="E71" s="71" t="str">
        <f t="shared" si="3"/>
        <v>Alpha--Level-3-List (Al-3)</v>
      </c>
      <c r="F71" s="5">
        <v>68</v>
      </c>
      <c r="G71" s="8" t="b">
        <v>0</v>
      </c>
      <c r="H71" s="5">
        <v>1</v>
      </c>
      <c r="I71" s="5" t="s">
        <v>69</v>
      </c>
      <c r="J71" s="5">
        <v>11</v>
      </c>
      <c r="K71" s="8" t="b">
        <v>0</v>
      </c>
      <c r="L71" s="5" t="b">
        <v>0</v>
      </c>
      <c r="M71" s="6" t="s">
        <v>66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1</v>
      </c>
      <c r="Y71" s="5" t="b">
        <v>0</v>
      </c>
      <c r="Z71" s="5" t="b">
        <v>0</v>
      </c>
      <c r="AA71" s="8">
        <v>0</v>
      </c>
      <c r="AB71" s="8">
        <v>0</v>
      </c>
      <c r="AC71" s="8">
        <v>6</v>
      </c>
      <c r="AD71" s="8">
        <v>6</v>
      </c>
      <c r="AE71" s="8">
        <v>2</v>
      </c>
      <c r="AF71" s="8">
        <v>24</v>
      </c>
      <c r="AG71" s="8">
        <v>0</v>
      </c>
      <c r="AH71" s="8">
        <v>-18</v>
      </c>
      <c r="AI71" s="8">
        <v>10</v>
      </c>
      <c r="AJ71" s="8" t="b">
        <v>0</v>
      </c>
      <c r="AK71" s="5" t="b">
        <v>0</v>
      </c>
      <c r="AL71" s="5" t="b">
        <v>0</v>
      </c>
      <c r="AM71" s="6" t="s">
        <v>66</v>
      </c>
      <c r="AN71" s="5">
        <v>0</v>
      </c>
      <c r="AO71" s="5">
        <v>6</v>
      </c>
      <c r="AP71" s="5" t="b">
        <v>1</v>
      </c>
      <c r="AQ71" s="24" t="s">
        <v>109</v>
      </c>
      <c r="AR71" s="5">
        <v>1</v>
      </c>
      <c r="AS71" s="5">
        <v>48</v>
      </c>
      <c r="AT71" s="5" t="b">
        <v>0</v>
      </c>
      <c r="AU71" s="6" t="s">
        <v>66</v>
      </c>
      <c r="AV71" s="5">
        <v>0</v>
      </c>
      <c r="AW71" s="5">
        <v>6</v>
      </c>
      <c r="AX71" s="5" t="b">
        <v>0</v>
      </c>
      <c r="AY71" s="6" t="s">
        <v>66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42" t="s">
        <v>66</v>
      </c>
      <c r="BJ71" s="70"/>
      <c r="BK71" s="5" t="s">
        <v>0</v>
      </c>
      <c r="BL71" s="5">
        <v>0</v>
      </c>
      <c r="BM71" s="5" t="b">
        <v>0</v>
      </c>
      <c r="CO71" s="64" t="str">
        <f t="shared" si="4"/>
        <v>.Alpha--Level-3-ListAl-3</v>
      </c>
    </row>
    <row r="72" spans="1:93" x14ac:dyDescent="0.25">
      <c r="A72" s="71" t="str">
        <f t="shared" si="5"/>
        <v>Bulleted-Paragraph (Bp)</v>
      </c>
      <c r="C72" s="8" t="s">
        <v>494</v>
      </c>
      <c r="D72" s="8" t="s">
        <v>495</v>
      </c>
      <c r="E72" s="71" t="str">
        <f t="shared" si="3"/>
        <v>Bulleted-Paragraph (Bp)</v>
      </c>
      <c r="F72" s="5">
        <v>69</v>
      </c>
      <c r="G72" s="8" t="b">
        <v>0</v>
      </c>
      <c r="H72" s="5">
        <v>1</v>
      </c>
      <c r="I72" s="5" t="s">
        <v>69</v>
      </c>
      <c r="J72" s="5">
        <v>12</v>
      </c>
      <c r="K72" s="8" t="b">
        <v>0</v>
      </c>
      <c r="L72" s="5" t="b">
        <v>0</v>
      </c>
      <c r="M72" s="6" t="s">
        <v>66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0</v>
      </c>
      <c r="Y72" s="5" t="b">
        <v>0</v>
      </c>
      <c r="Z72" s="5" t="b">
        <v>0</v>
      </c>
      <c r="AA72" s="8">
        <v>0</v>
      </c>
      <c r="AB72" s="8">
        <v>0</v>
      </c>
      <c r="AC72" s="8">
        <v>6</v>
      </c>
      <c r="AD72" s="8">
        <v>6</v>
      </c>
      <c r="AE72" s="8">
        <v>2</v>
      </c>
      <c r="AF72" s="8">
        <v>24</v>
      </c>
      <c r="AG72" s="8">
        <v>0</v>
      </c>
      <c r="AH72" s="8">
        <v>36</v>
      </c>
      <c r="AI72" s="8">
        <v>10</v>
      </c>
      <c r="AJ72" s="8" t="b">
        <v>0</v>
      </c>
      <c r="AK72" s="5" t="b">
        <v>0</v>
      </c>
      <c r="AL72" s="5" t="b">
        <v>0</v>
      </c>
      <c r="AM72" s="6" t="s">
        <v>66</v>
      </c>
      <c r="AN72" s="5">
        <v>0</v>
      </c>
      <c r="AO72" s="5">
        <v>6</v>
      </c>
      <c r="AP72" s="5" t="b">
        <v>1</v>
      </c>
      <c r="AQ72" s="24" t="s">
        <v>109</v>
      </c>
      <c r="AR72" s="5">
        <v>1</v>
      </c>
      <c r="AS72" s="5">
        <v>48</v>
      </c>
      <c r="AT72" s="5" t="b">
        <v>0</v>
      </c>
      <c r="AU72" s="6" t="s">
        <v>66</v>
      </c>
      <c r="AV72" s="5">
        <v>0</v>
      </c>
      <c r="AW72" s="5">
        <v>6</v>
      </c>
      <c r="AX72" s="5" t="b">
        <v>0</v>
      </c>
      <c r="AY72" s="6" t="s">
        <v>66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42" t="s">
        <v>66</v>
      </c>
      <c r="BJ72" s="70"/>
      <c r="BK72" s="5" t="s">
        <v>0</v>
      </c>
      <c r="BL72" s="5">
        <v>0</v>
      </c>
      <c r="BM72" s="5" t="b">
        <v>0</v>
      </c>
      <c r="CO72" s="64" t="str">
        <f t="shared" si="4"/>
        <v>.Bulleted-ParagraphBp</v>
      </c>
    </row>
    <row r="73" spans="1:93" x14ac:dyDescent="0.25">
      <c r="A73" s="71" t="str">
        <f t="shared" si="5"/>
        <v>Numbered-Paragraph (Np)</v>
      </c>
      <c r="C73" s="8" t="s">
        <v>496</v>
      </c>
      <c r="D73" s="8" t="s">
        <v>497</v>
      </c>
      <c r="E73" s="71" t="str">
        <f t="shared" si="3"/>
        <v>Numbered-Paragraph (Np)</v>
      </c>
      <c r="F73" s="5">
        <v>70</v>
      </c>
      <c r="G73" s="8" t="b">
        <v>0</v>
      </c>
      <c r="H73" s="5">
        <v>1</v>
      </c>
      <c r="I73" s="5" t="s">
        <v>69</v>
      </c>
      <c r="J73" s="5">
        <v>12</v>
      </c>
      <c r="K73" s="8" t="b">
        <v>0</v>
      </c>
      <c r="L73" s="5" t="b">
        <v>0</v>
      </c>
      <c r="M73" s="6" t="s">
        <v>66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0</v>
      </c>
      <c r="Y73" s="5" t="b">
        <v>0</v>
      </c>
      <c r="Z73" s="5" t="b">
        <v>0</v>
      </c>
      <c r="AA73" s="8">
        <v>0</v>
      </c>
      <c r="AB73" s="8">
        <v>0</v>
      </c>
      <c r="AC73" s="8">
        <v>6</v>
      </c>
      <c r="AD73" s="8">
        <v>6</v>
      </c>
      <c r="AE73" s="8">
        <v>2</v>
      </c>
      <c r="AF73" s="8">
        <v>24</v>
      </c>
      <c r="AG73" s="8">
        <v>0</v>
      </c>
      <c r="AH73" s="8">
        <v>36</v>
      </c>
      <c r="AI73" s="8">
        <v>10</v>
      </c>
      <c r="AJ73" s="8" t="b">
        <v>0</v>
      </c>
      <c r="AK73" s="5" t="b">
        <v>0</v>
      </c>
      <c r="AL73" s="5" t="b">
        <v>0</v>
      </c>
      <c r="AM73" s="6" t="s">
        <v>66</v>
      </c>
      <c r="AN73" s="5">
        <v>0</v>
      </c>
      <c r="AO73" s="5">
        <v>6</v>
      </c>
      <c r="AP73" s="5" t="b">
        <v>1</v>
      </c>
      <c r="AQ73" s="24" t="s">
        <v>109</v>
      </c>
      <c r="AR73" s="5">
        <v>1</v>
      </c>
      <c r="AS73" s="5">
        <v>48</v>
      </c>
      <c r="AT73" s="5" t="b">
        <v>0</v>
      </c>
      <c r="AU73" s="6" t="s">
        <v>66</v>
      </c>
      <c r="AV73" s="5">
        <v>0</v>
      </c>
      <c r="AW73" s="5">
        <v>6</v>
      </c>
      <c r="AX73" s="5" t="b">
        <v>0</v>
      </c>
      <c r="AY73" s="6" t="s">
        <v>66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42" t="s">
        <v>66</v>
      </c>
      <c r="BJ73" s="70"/>
      <c r="BK73" s="5" t="s">
        <v>0</v>
      </c>
      <c r="BL73" s="5">
        <v>0</v>
      </c>
      <c r="BM73" s="5" t="b">
        <v>0</v>
      </c>
      <c r="CO73" s="64" t="str">
        <f t="shared" si="4"/>
        <v>.Numbered-ParagraphNp</v>
      </c>
    </row>
    <row r="74" spans="1:93" x14ac:dyDescent="0.25">
      <c r="A74" s="71" t="str">
        <f t="shared" si="5"/>
        <v>Reference-Entry (Re)</v>
      </c>
      <c r="C74" s="8" t="s">
        <v>498</v>
      </c>
      <c r="D74" s="8" t="s">
        <v>499</v>
      </c>
      <c r="E74" s="71" t="str">
        <f t="shared" si="3"/>
        <v>Reference-Entry (Re)</v>
      </c>
      <c r="F74" s="5">
        <v>71</v>
      </c>
      <c r="G74" s="8" t="b">
        <v>0</v>
      </c>
      <c r="H74" s="5">
        <v>1</v>
      </c>
      <c r="I74" s="5" t="s">
        <v>69</v>
      </c>
      <c r="J74" s="5">
        <v>12</v>
      </c>
      <c r="K74" s="8" t="b">
        <v>0</v>
      </c>
      <c r="L74" s="5" t="b">
        <v>0</v>
      </c>
      <c r="M74" s="6" t="s">
        <v>66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0</v>
      </c>
      <c r="Y74" s="5" t="b">
        <v>0</v>
      </c>
      <c r="Z74" s="5" t="b">
        <v>0</v>
      </c>
      <c r="AA74" s="8">
        <v>0</v>
      </c>
      <c r="AB74" s="8">
        <v>0</v>
      </c>
      <c r="AC74" s="8">
        <v>6</v>
      </c>
      <c r="AD74" s="8">
        <v>6</v>
      </c>
      <c r="AE74" s="8">
        <v>2</v>
      </c>
      <c r="AF74" s="8">
        <v>24</v>
      </c>
      <c r="AG74" s="8">
        <v>0</v>
      </c>
      <c r="AH74" s="8">
        <v>36</v>
      </c>
      <c r="AI74" s="8">
        <v>10</v>
      </c>
      <c r="AJ74" s="8" t="b">
        <v>0</v>
      </c>
      <c r="AK74" s="5" t="b">
        <v>0</v>
      </c>
      <c r="AL74" s="5" t="b">
        <v>0</v>
      </c>
      <c r="AM74" s="6" t="s">
        <v>66</v>
      </c>
      <c r="AN74" s="5">
        <v>0</v>
      </c>
      <c r="AO74" s="5">
        <v>6</v>
      </c>
      <c r="AP74" s="5" t="b">
        <v>1</v>
      </c>
      <c r="AQ74" s="24" t="s">
        <v>109</v>
      </c>
      <c r="AR74" s="5">
        <v>1</v>
      </c>
      <c r="AS74" s="5">
        <v>48</v>
      </c>
      <c r="AT74" s="5" t="b">
        <v>0</v>
      </c>
      <c r="AU74" s="6" t="s">
        <v>66</v>
      </c>
      <c r="AV74" s="5">
        <v>0</v>
      </c>
      <c r="AW74" s="5">
        <v>6</v>
      </c>
      <c r="AX74" s="5" t="b">
        <v>0</v>
      </c>
      <c r="AY74" s="6" t="s">
        <v>66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42" t="s">
        <v>66</v>
      </c>
      <c r="BJ74" s="70"/>
      <c r="BK74" s="5" t="s">
        <v>0</v>
      </c>
      <c r="BL74" s="5">
        <v>0</v>
      </c>
      <c r="BM74" s="5" t="b">
        <v>0</v>
      </c>
      <c r="CO74" s="64" t="str">
        <f t="shared" si="4"/>
        <v>.Reference-EntryRe</v>
      </c>
    </row>
    <row r="75" spans="1:93" x14ac:dyDescent="0.25">
      <c r="A75" s="71" t="str">
        <f t="shared" si="5"/>
        <v>Source-Note (Sn)</v>
      </c>
      <c r="C75" s="8" t="s">
        <v>500</v>
      </c>
      <c r="D75" s="8" t="s">
        <v>501</v>
      </c>
      <c r="E75" s="8" t="s">
        <v>593</v>
      </c>
      <c r="F75" s="5">
        <v>72</v>
      </c>
      <c r="G75" s="8" t="b">
        <v>0</v>
      </c>
      <c r="H75" s="5">
        <v>1</v>
      </c>
      <c r="I75" s="5" t="s">
        <v>1</v>
      </c>
      <c r="J75" s="5">
        <v>9</v>
      </c>
      <c r="K75" s="8" t="b">
        <v>0</v>
      </c>
      <c r="L75" s="5" t="b">
        <v>0</v>
      </c>
      <c r="M75" s="6" t="s">
        <v>66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1</v>
      </c>
      <c r="Y75" s="5" t="b">
        <v>0</v>
      </c>
      <c r="Z75" s="5" t="b">
        <v>0</v>
      </c>
      <c r="AA75" s="8">
        <v>0</v>
      </c>
      <c r="AB75" s="8">
        <v>0</v>
      </c>
      <c r="AC75" s="8">
        <v>6</v>
      </c>
      <c r="AD75" s="8">
        <v>6</v>
      </c>
      <c r="AE75" s="8">
        <v>2</v>
      </c>
      <c r="AF75" s="8">
        <v>24</v>
      </c>
      <c r="AG75" s="8">
        <v>0</v>
      </c>
      <c r="AH75" s="8">
        <v>36</v>
      </c>
      <c r="AI75" s="8">
        <v>10</v>
      </c>
      <c r="AJ75" s="8" t="b">
        <v>0</v>
      </c>
      <c r="AK75" s="5" t="b">
        <v>0</v>
      </c>
      <c r="AL75" s="5" t="b">
        <v>0</v>
      </c>
      <c r="AM75" s="6" t="s">
        <v>66</v>
      </c>
      <c r="AN75" s="5">
        <v>0</v>
      </c>
      <c r="AO75" s="5">
        <v>6</v>
      </c>
      <c r="AP75" s="5" t="b">
        <v>1</v>
      </c>
      <c r="AQ75" s="24" t="s">
        <v>109</v>
      </c>
      <c r="AR75" s="5">
        <v>1</v>
      </c>
      <c r="AS75" s="5">
        <v>48</v>
      </c>
      <c r="AT75" s="5" t="b">
        <v>0</v>
      </c>
      <c r="AU75" s="6" t="s">
        <v>66</v>
      </c>
      <c r="AV75" s="5">
        <v>0</v>
      </c>
      <c r="AW75" s="5">
        <v>6</v>
      </c>
      <c r="AX75" s="5" t="b">
        <v>0</v>
      </c>
      <c r="AY75" s="6" t="s">
        <v>66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42" t="s">
        <v>66</v>
      </c>
      <c r="BJ75" s="70"/>
      <c r="BK75" s="5" t="s">
        <v>0</v>
      </c>
      <c r="BL75" s="5">
        <v>0</v>
      </c>
      <c r="BM75" s="5" t="b">
        <v>0</v>
      </c>
      <c r="CO75" s="64" t="str">
        <f t="shared" si="4"/>
        <v>.Source-NoteSn</v>
      </c>
    </row>
    <row r="76" spans="1:93" x14ac:dyDescent="0.25">
      <c r="A76" s="71" t="str">
        <f t="shared" si="5"/>
        <v>Volume (Vol)</v>
      </c>
      <c r="C76" s="8" t="s">
        <v>502</v>
      </c>
      <c r="D76" s="8" t="s">
        <v>503</v>
      </c>
      <c r="E76" s="8" t="s">
        <v>593</v>
      </c>
      <c r="F76" s="5">
        <v>73</v>
      </c>
      <c r="G76" s="8" t="b">
        <v>0</v>
      </c>
      <c r="H76" s="5">
        <v>1</v>
      </c>
      <c r="I76" s="5" t="s">
        <v>69</v>
      </c>
      <c r="J76" s="5">
        <v>14</v>
      </c>
      <c r="K76" s="8" t="b">
        <v>0</v>
      </c>
      <c r="L76" s="5" t="b">
        <v>0</v>
      </c>
      <c r="M76" s="6" t="s">
        <v>66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1</v>
      </c>
      <c r="Y76" s="5" t="b">
        <v>0</v>
      </c>
      <c r="Z76" s="5" t="b">
        <v>0</v>
      </c>
      <c r="AA76" s="8">
        <v>0</v>
      </c>
      <c r="AB76" s="8">
        <v>0</v>
      </c>
      <c r="AC76" s="8">
        <v>6</v>
      </c>
      <c r="AD76" s="8">
        <v>6</v>
      </c>
      <c r="AE76" s="8">
        <v>2</v>
      </c>
      <c r="AF76" s="8">
        <v>24</v>
      </c>
      <c r="AG76" s="8">
        <v>1</v>
      </c>
      <c r="AH76" s="8">
        <v>0</v>
      </c>
      <c r="AI76" s="8">
        <v>10</v>
      </c>
      <c r="AJ76" s="8" t="b">
        <v>0</v>
      </c>
      <c r="AK76" s="5" t="b">
        <v>0</v>
      </c>
      <c r="AL76" s="5" t="b">
        <v>0</v>
      </c>
      <c r="AM76" s="6" t="s">
        <v>66</v>
      </c>
      <c r="AN76" s="5">
        <v>0</v>
      </c>
      <c r="AO76" s="5">
        <v>6</v>
      </c>
      <c r="AP76" s="5" t="b">
        <v>1</v>
      </c>
      <c r="AQ76" s="24" t="s">
        <v>109</v>
      </c>
      <c r="AR76" s="5">
        <v>1</v>
      </c>
      <c r="AS76" s="5">
        <v>48</v>
      </c>
      <c r="AT76" s="5" t="b">
        <v>0</v>
      </c>
      <c r="AU76" s="6" t="s">
        <v>66</v>
      </c>
      <c r="AV76" s="5">
        <v>0</v>
      </c>
      <c r="AW76" s="5">
        <v>6</v>
      </c>
      <c r="AX76" s="5" t="b">
        <v>0</v>
      </c>
      <c r="AY76" s="6" t="s">
        <v>66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42" t="s">
        <v>66</v>
      </c>
      <c r="BJ76" s="70"/>
      <c r="BK76" s="5" t="s">
        <v>0</v>
      </c>
      <c r="BL76" s="5">
        <v>0</v>
      </c>
      <c r="BM76" s="5" t="b">
        <v>0</v>
      </c>
      <c r="CO76" s="64" t="str">
        <f t="shared" si="4"/>
        <v>.VolumeVol</v>
      </c>
    </row>
    <row r="77" spans="1:93" x14ac:dyDescent="0.25">
      <c r="A77" s="71" t="str">
        <f t="shared" si="5"/>
        <v>Logo-Placement (Lp)</v>
      </c>
      <c r="C77" s="8" t="s">
        <v>504</v>
      </c>
      <c r="D77" s="8" t="s">
        <v>505</v>
      </c>
      <c r="E77" s="8" t="s">
        <v>593</v>
      </c>
      <c r="F77" s="5">
        <v>74</v>
      </c>
      <c r="G77" s="8" t="b">
        <v>0</v>
      </c>
      <c r="H77" s="5">
        <v>1</v>
      </c>
      <c r="I77" s="5" t="s">
        <v>1</v>
      </c>
      <c r="J77" s="5">
        <v>10</v>
      </c>
      <c r="K77" s="8" t="b">
        <v>0</v>
      </c>
      <c r="L77" s="5" t="b">
        <v>0</v>
      </c>
      <c r="M77" s="6" t="s">
        <v>66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0</v>
      </c>
      <c r="Y77" s="5" t="b">
        <v>0</v>
      </c>
      <c r="Z77" s="5" t="b">
        <v>0</v>
      </c>
      <c r="AA77" s="8">
        <v>0</v>
      </c>
      <c r="AB77" s="8">
        <v>0</v>
      </c>
      <c r="AC77" s="8">
        <v>6</v>
      </c>
      <c r="AD77" s="8">
        <v>6</v>
      </c>
      <c r="AE77" s="8">
        <v>2</v>
      </c>
      <c r="AF77" s="8">
        <v>24</v>
      </c>
      <c r="AG77" s="8">
        <v>1</v>
      </c>
      <c r="AH77" s="8">
        <v>0</v>
      </c>
      <c r="AI77" s="8">
        <v>10</v>
      </c>
      <c r="AJ77" s="8" t="b">
        <v>0</v>
      </c>
      <c r="AK77" s="5" t="b">
        <v>0</v>
      </c>
      <c r="AL77" s="5" t="b">
        <v>0</v>
      </c>
      <c r="AM77" s="6" t="s">
        <v>66</v>
      </c>
      <c r="AN77" s="5">
        <v>0</v>
      </c>
      <c r="AO77" s="5">
        <v>6</v>
      </c>
      <c r="AP77" s="5" t="b">
        <v>1</v>
      </c>
      <c r="AQ77" s="24" t="s">
        <v>109</v>
      </c>
      <c r="AR77" s="5">
        <v>1</v>
      </c>
      <c r="AS77" s="5">
        <v>48</v>
      </c>
      <c r="AT77" s="5" t="b">
        <v>0</v>
      </c>
      <c r="AU77" s="6" t="s">
        <v>66</v>
      </c>
      <c r="AV77" s="5">
        <v>0</v>
      </c>
      <c r="AW77" s="5">
        <v>6</v>
      </c>
      <c r="AX77" s="5" t="b">
        <v>0</v>
      </c>
      <c r="AY77" s="6" t="s">
        <v>66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42" t="s">
        <v>66</v>
      </c>
      <c r="BJ77" s="70"/>
      <c r="BK77" s="5" t="s">
        <v>0</v>
      </c>
      <c r="BL77" s="5">
        <v>0</v>
      </c>
      <c r="BM77" s="5" t="b">
        <v>0</v>
      </c>
      <c r="CO77" s="64" t="str">
        <f t="shared" si="4"/>
        <v>.Logo-PlacementLp</v>
      </c>
    </row>
    <row r="78" spans="1:93" x14ac:dyDescent="0.25">
      <c r="A78" s="71" t="str">
        <f t="shared" si="5"/>
        <v>Imprint (Im)</v>
      </c>
      <c r="C78" s="8" t="s">
        <v>506</v>
      </c>
      <c r="D78" s="8" t="s">
        <v>507</v>
      </c>
      <c r="E78" s="8" t="s">
        <v>593</v>
      </c>
      <c r="F78" s="5">
        <v>75</v>
      </c>
      <c r="G78" s="8" t="b">
        <v>0</v>
      </c>
      <c r="H78" s="5">
        <v>1</v>
      </c>
      <c r="I78" s="5" t="s">
        <v>69</v>
      </c>
      <c r="J78" s="5">
        <v>10</v>
      </c>
      <c r="K78" s="8" t="b">
        <v>0</v>
      </c>
      <c r="L78" s="5" t="b">
        <v>0</v>
      </c>
      <c r="M78" s="6" t="s">
        <v>66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1</v>
      </c>
      <c r="Y78" s="5" t="b">
        <v>0</v>
      </c>
      <c r="Z78" s="5" t="b">
        <v>0</v>
      </c>
      <c r="AA78" s="8">
        <v>0</v>
      </c>
      <c r="AB78" s="8">
        <v>0</v>
      </c>
      <c r="AC78" s="8">
        <v>6</v>
      </c>
      <c r="AD78" s="8">
        <v>6</v>
      </c>
      <c r="AE78" s="8">
        <v>2</v>
      </c>
      <c r="AF78" s="8">
        <v>24</v>
      </c>
      <c r="AG78" s="8">
        <v>1</v>
      </c>
      <c r="AH78" s="8">
        <v>0</v>
      </c>
      <c r="AI78" s="8">
        <v>10</v>
      </c>
      <c r="AJ78" s="8" t="b">
        <v>0</v>
      </c>
      <c r="AK78" s="5" t="b">
        <v>0</v>
      </c>
      <c r="AL78" s="5" t="b">
        <v>0</v>
      </c>
      <c r="AM78" s="6" t="s">
        <v>66</v>
      </c>
      <c r="AN78" s="5">
        <v>0</v>
      </c>
      <c r="AO78" s="5">
        <v>6</v>
      </c>
      <c r="AP78" s="5" t="b">
        <v>1</v>
      </c>
      <c r="AQ78" s="24" t="s">
        <v>109</v>
      </c>
      <c r="AR78" s="5">
        <v>1</v>
      </c>
      <c r="AS78" s="5">
        <v>48</v>
      </c>
      <c r="AT78" s="5" t="b">
        <v>0</v>
      </c>
      <c r="AU78" s="6" t="s">
        <v>66</v>
      </c>
      <c r="AV78" s="5">
        <v>0</v>
      </c>
      <c r="AW78" s="5">
        <v>6</v>
      </c>
      <c r="AX78" s="5" t="b">
        <v>0</v>
      </c>
      <c r="AY78" s="6" t="s">
        <v>66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42" t="s">
        <v>66</v>
      </c>
      <c r="BJ78" s="70"/>
      <c r="BK78" s="5" t="s">
        <v>0</v>
      </c>
      <c r="BL78" s="5">
        <v>0</v>
      </c>
      <c r="BM78" s="5" t="b">
        <v>0</v>
      </c>
      <c r="CO78" s="64" t="str">
        <f t="shared" si="4"/>
        <v>.ImprintIm</v>
      </c>
    </row>
    <row r="79" spans="1:93" x14ac:dyDescent="0.25">
      <c r="A79" s="71" t="str">
        <f t="shared" si="5"/>
        <v>Illustration-Placement (Ip)</v>
      </c>
      <c r="C79" s="8" t="s">
        <v>508</v>
      </c>
      <c r="D79" s="8" t="s">
        <v>509</v>
      </c>
      <c r="E79" s="8" t="s">
        <v>593</v>
      </c>
      <c r="F79" s="5">
        <v>76</v>
      </c>
      <c r="G79" s="8" t="b">
        <v>1</v>
      </c>
      <c r="H79" s="5">
        <v>1</v>
      </c>
      <c r="I79" s="5" t="s">
        <v>1</v>
      </c>
      <c r="J79" s="5">
        <v>11</v>
      </c>
      <c r="K79" s="8" t="b">
        <v>0</v>
      </c>
      <c r="L79" s="5" t="b">
        <v>0</v>
      </c>
      <c r="M79" s="6" t="s">
        <v>66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1</v>
      </c>
      <c r="Y79" s="5" t="b">
        <v>0</v>
      </c>
      <c r="Z79" s="5" t="b">
        <v>0</v>
      </c>
      <c r="AA79" s="8">
        <v>0</v>
      </c>
      <c r="AB79" s="8">
        <v>0</v>
      </c>
      <c r="AC79" s="8">
        <v>6</v>
      </c>
      <c r="AD79" s="8">
        <v>6</v>
      </c>
      <c r="AE79" s="8">
        <v>2</v>
      </c>
      <c r="AF79" s="8">
        <v>24</v>
      </c>
      <c r="AG79" s="8">
        <v>0</v>
      </c>
      <c r="AH79" s="8">
        <v>36</v>
      </c>
      <c r="AI79" s="8">
        <v>10</v>
      </c>
      <c r="AJ79" s="8" t="b">
        <v>0</v>
      </c>
      <c r="AK79" s="5" t="b">
        <v>0</v>
      </c>
      <c r="AL79" s="5" t="b">
        <v>0</v>
      </c>
      <c r="AM79" s="6" t="s">
        <v>66</v>
      </c>
      <c r="AN79" s="5">
        <v>0</v>
      </c>
      <c r="AO79" s="5">
        <v>6</v>
      </c>
      <c r="AP79" s="5" t="b">
        <v>1</v>
      </c>
      <c r="AQ79" s="24" t="s">
        <v>109</v>
      </c>
      <c r="AR79" s="5">
        <v>1</v>
      </c>
      <c r="AS79" s="5">
        <v>48</v>
      </c>
      <c r="AT79" s="5" t="b">
        <v>0</v>
      </c>
      <c r="AU79" s="6" t="s">
        <v>66</v>
      </c>
      <c r="AV79" s="5">
        <v>0</v>
      </c>
      <c r="AW79" s="5">
        <v>6</v>
      </c>
      <c r="AX79" s="5" t="b">
        <v>0</v>
      </c>
      <c r="AY79" s="6" t="s">
        <v>66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42" t="s">
        <v>66</v>
      </c>
      <c r="BJ79" s="70"/>
      <c r="BK79" s="5" t="s">
        <v>0</v>
      </c>
      <c r="BL79" s="5">
        <v>0</v>
      </c>
      <c r="BM79" s="5" t="b">
        <v>0</v>
      </c>
      <c r="CO79" s="64" t="str">
        <f t="shared" si="4"/>
        <v>.Illustration-PlacementIp</v>
      </c>
    </row>
    <row r="80" spans="1:93" x14ac:dyDescent="0.25">
      <c r="A80" s="71" t="str">
        <f t="shared" si="5"/>
        <v>Credit-Line (Crd)</v>
      </c>
      <c r="C80" s="8" t="s">
        <v>510</v>
      </c>
      <c r="D80" s="8" t="s">
        <v>511</v>
      </c>
      <c r="E80" s="71" t="str">
        <f t="shared" ref="E80:E89" si="6">IF($D80="","",TRIM($C80)&amp;" "&amp;CHAR(40)&amp;TRIM($D80)&amp;CHAR(41))</f>
        <v>Credit-Line (Crd)</v>
      </c>
      <c r="F80" s="5">
        <v>77</v>
      </c>
      <c r="G80" s="8" t="b">
        <v>0</v>
      </c>
      <c r="H80" s="5">
        <v>1</v>
      </c>
      <c r="I80" s="5" t="s">
        <v>1</v>
      </c>
      <c r="J80" s="5">
        <v>9</v>
      </c>
      <c r="K80" s="8" t="b">
        <v>0</v>
      </c>
      <c r="L80" s="5" t="b">
        <v>0</v>
      </c>
      <c r="M80" s="6" t="s">
        <v>66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1</v>
      </c>
      <c r="Y80" s="5" t="b">
        <v>0</v>
      </c>
      <c r="Z80" s="5" t="b">
        <v>0</v>
      </c>
      <c r="AA80" s="8">
        <v>0</v>
      </c>
      <c r="AB80" s="8">
        <v>0</v>
      </c>
      <c r="AC80" s="8">
        <v>6</v>
      </c>
      <c r="AD80" s="8">
        <v>6</v>
      </c>
      <c r="AE80" s="8">
        <v>2</v>
      </c>
      <c r="AF80" s="8">
        <v>24</v>
      </c>
      <c r="AG80" s="8">
        <v>0</v>
      </c>
      <c r="AH80" s="8">
        <v>36</v>
      </c>
      <c r="AI80" s="8">
        <v>10</v>
      </c>
      <c r="AJ80" s="8" t="b">
        <v>0</v>
      </c>
      <c r="AK80" s="5" t="b">
        <v>0</v>
      </c>
      <c r="AL80" s="5" t="b">
        <v>0</v>
      </c>
      <c r="AM80" s="6" t="s">
        <v>66</v>
      </c>
      <c r="AN80" s="5">
        <v>0</v>
      </c>
      <c r="AO80" s="5">
        <v>6</v>
      </c>
      <c r="AP80" s="5" t="b">
        <v>1</v>
      </c>
      <c r="AQ80" s="24" t="s">
        <v>109</v>
      </c>
      <c r="AR80" s="5">
        <v>1</v>
      </c>
      <c r="AS80" s="5">
        <v>48</v>
      </c>
      <c r="AT80" s="5" t="b">
        <v>0</v>
      </c>
      <c r="AU80" s="6" t="s">
        <v>66</v>
      </c>
      <c r="AV80" s="5">
        <v>0</v>
      </c>
      <c r="AW80" s="5">
        <v>6</v>
      </c>
      <c r="AX80" s="5" t="b">
        <v>0</v>
      </c>
      <c r="AY80" s="6" t="s">
        <v>66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42" t="s">
        <v>66</v>
      </c>
      <c r="BJ80" s="70"/>
      <c r="BK80" s="5" t="s">
        <v>0</v>
      </c>
      <c r="BL80" s="5">
        <v>0</v>
      </c>
      <c r="BM80" s="5" t="b">
        <v>0</v>
      </c>
      <c r="CO80" s="64" t="str">
        <f t="shared" si="4"/>
        <v>.Credit-LineCrd</v>
      </c>
    </row>
    <row r="81" spans="1:93" x14ac:dyDescent="0.25">
      <c r="A81" s="71" t="str">
        <f t="shared" si="5"/>
        <v>Caption (Cap)</v>
      </c>
      <c r="C81" s="8" t="s">
        <v>235</v>
      </c>
      <c r="D81" s="8" t="s">
        <v>512</v>
      </c>
      <c r="E81" s="71" t="str">
        <f t="shared" si="6"/>
        <v>Caption (Cap)</v>
      </c>
      <c r="F81" s="5">
        <v>78</v>
      </c>
      <c r="G81" s="8" t="b">
        <v>0</v>
      </c>
      <c r="H81" s="5">
        <v>1</v>
      </c>
      <c r="I81" s="5" t="s">
        <v>1</v>
      </c>
      <c r="J81" s="5">
        <v>9</v>
      </c>
      <c r="K81" s="8" t="b">
        <v>0</v>
      </c>
      <c r="L81" s="5" t="b">
        <v>0</v>
      </c>
      <c r="M81" s="6" t="s">
        <v>66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1</v>
      </c>
      <c r="Y81" s="5" t="b">
        <v>0</v>
      </c>
      <c r="Z81" s="5" t="b">
        <v>0</v>
      </c>
      <c r="AA81" s="8">
        <v>0</v>
      </c>
      <c r="AB81" s="8">
        <v>0</v>
      </c>
      <c r="AC81" s="8">
        <v>6</v>
      </c>
      <c r="AD81" s="8">
        <v>6</v>
      </c>
      <c r="AE81" s="8">
        <v>2</v>
      </c>
      <c r="AF81" s="8">
        <v>24</v>
      </c>
      <c r="AG81" s="8">
        <v>0</v>
      </c>
      <c r="AH81" s="8">
        <v>36</v>
      </c>
      <c r="AI81" s="8">
        <v>10</v>
      </c>
      <c r="AJ81" s="8" t="b">
        <v>0</v>
      </c>
      <c r="AK81" s="5" t="b">
        <v>0</v>
      </c>
      <c r="AL81" s="5" t="b">
        <v>0</v>
      </c>
      <c r="AM81" s="6" t="s">
        <v>66</v>
      </c>
      <c r="AN81" s="5">
        <v>0</v>
      </c>
      <c r="AO81" s="5">
        <v>6</v>
      </c>
      <c r="AP81" s="5" t="b">
        <v>1</v>
      </c>
      <c r="AQ81" s="24" t="s">
        <v>109</v>
      </c>
      <c r="AR81" s="5">
        <v>1</v>
      </c>
      <c r="AS81" s="5">
        <v>48</v>
      </c>
      <c r="AT81" s="5" t="b">
        <v>0</v>
      </c>
      <c r="AU81" s="6" t="s">
        <v>66</v>
      </c>
      <c r="AV81" s="5">
        <v>0</v>
      </c>
      <c r="AW81" s="5">
        <v>6</v>
      </c>
      <c r="AX81" s="5" t="b">
        <v>0</v>
      </c>
      <c r="AY81" s="6" t="s">
        <v>66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42" t="s">
        <v>66</v>
      </c>
      <c r="BJ81" s="70"/>
      <c r="BK81" s="5" t="s">
        <v>0</v>
      </c>
      <c r="BL81" s="5">
        <v>0</v>
      </c>
      <c r="BM81" s="5" t="b">
        <v>0</v>
      </c>
      <c r="CO81" s="64" t="str">
        <f t="shared" si="4"/>
        <v>.CaptionCap</v>
      </c>
    </row>
    <row r="82" spans="1:93" x14ac:dyDescent="0.25">
      <c r="A82" s="71" t="str">
        <f t="shared" si="5"/>
        <v>Speaker-A (Sp-A)</v>
      </c>
      <c r="C82" s="8" t="s">
        <v>513</v>
      </c>
      <c r="D82" s="8" t="s">
        <v>514</v>
      </c>
      <c r="E82" s="71" t="str">
        <f t="shared" si="6"/>
        <v>Speaker-A (Sp-A)</v>
      </c>
      <c r="F82" s="5">
        <v>79</v>
      </c>
      <c r="G82" s="8" t="b">
        <v>0</v>
      </c>
      <c r="H82" s="5">
        <v>1</v>
      </c>
      <c r="I82" s="5" t="s">
        <v>2</v>
      </c>
      <c r="J82" s="5">
        <v>11</v>
      </c>
      <c r="K82" s="8" t="b">
        <v>0</v>
      </c>
      <c r="L82" s="5" t="b">
        <v>0</v>
      </c>
      <c r="M82" s="6" t="s">
        <v>66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0</v>
      </c>
      <c r="Y82" s="5" t="b">
        <v>0</v>
      </c>
      <c r="Z82" s="5" t="b">
        <v>0</v>
      </c>
      <c r="AA82" s="8">
        <v>0</v>
      </c>
      <c r="AB82" s="8">
        <v>0</v>
      </c>
      <c r="AC82" s="8">
        <v>6</v>
      </c>
      <c r="AD82" s="8">
        <v>6</v>
      </c>
      <c r="AE82" s="8">
        <v>2</v>
      </c>
      <c r="AF82" s="8">
        <v>24</v>
      </c>
      <c r="AG82" s="8">
        <v>1</v>
      </c>
      <c r="AH82" s="8">
        <v>0</v>
      </c>
      <c r="AI82" s="8">
        <v>10</v>
      </c>
      <c r="AJ82" s="8" t="b">
        <v>0</v>
      </c>
      <c r="AK82" s="5" t="b">
        <v>0</v>
      </c>
      <c r="AL82" s="5" t="b">
        <v>0</v>
      </c>
      <c r="AM82" s="6" t="s">
        <v>66</v>
      </c>
      <c r="AN82" s="5">
        <v>0</v>
      </c>
      <c r="AO82" s="5">
        <v>6</v>
      </c>
      <c r="AP82" s="5" t="b">
        <v>1</v>
      </c>
      <c r="AQ82" s="24" t="s">
        <v>109</v>
      </c>
      <c r="AR82" s="5">
        <v>1</v>
      </c>
      <c r="AS82" s="5">
        <v>48</v>
      </c>
      <c r="AT82" s="5" t="b">
        <v>0</v>
      </c>
      <c r="AU82" s="6" t="s">
        <v>66</v>
      </c>
      <c r="AV82" s="5">
        <v>0</v>
      </c>
      <c r="AW82" s="5">
        <v>6</v>
      </c>
      <c r="AX82" s="5" t="b">
        <v>0</v>
      </c>
      <c r="AY82" s="6" t="s">
        <v>66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42" t="s">
        <v>66</v>
      </c>
      <c r="BJ82" s="70"/>
      <c r="BK82" s="5" t="s">
        <v>0</v>
      </c>
      <c r="BL82" s="5">
        <v>0</v>
      </c>
      <c r="BM82" s="5" t="b">
        <v>0</v>
      </c>
      <c r="CO82" s="64" t="str">
        <f t="shared" si="4"/>
        <v>.Speaker-ASp-A</v>
      </c>
    </row>
    <row r="83" spans="1:93" x14ac:dyDescent="0.25">
      <c r="A83" s="71" t="str">
        <f t="shared" si="5"/>
        <v>Dialogue (Dia)</v>
      </c>
      <c r="C83" s="8" t="s">
        <v>515</v>
      </c>
      <c r="D83" s="8" t="s">
        <v>516</v>
      </c>
      <c r="E83" s="71" t="str">
        <f t="shared" si="6"/>
        <v>Dialogue (Dia)</v>
      </c>
      <c r="F83" s="5">
        <v>80</v>
      </c>
      <c r="G83" s="8" t="b">
        <v>0</v>
      </c>
      <c r="H83" s="5">
        <v>1</v>
      </c>
      <c r="I83" s="5" t="s">
        <v>69</v>
      </c>
      <c r="J83" s="5">
        <v>12</v>
      </c>
      <c r="K83" s="8" t="b">
        <v>0</v>
      </c>
      <c r="L83" s="5" t="b">
        <v>0</v>
      </c>
      <c r="M83" s="6" t="s">
        <v>66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1</v>
      </c>
      <c r="Y83" s="5" t="b">
        <v>0</v>
      </c>
      <c r="Z83" s="5" t="b">
        <v>0</v>
      </c>
      <c r="AA83" s="8">
        <v>0</v>
      </c>
      <c r="AB83" s="8">
        <v>0</v>
      </c>
      <c r="AC83" s="8">
        <v>6</v>
      </c>
      <c r="AD83" s="8">
        <v>6</v>
      </c>
      <c r="AE83" s="8">
        <v>2</v>
      </c>
      <c r="AF83" s="8">
        <v>24</v>
      </c>
      <c r="AG83" s="8">
        <v>0</v>
      </c>
      <c r="AH83" s="8">
        <v>36</v>
      </c>
      <c r="AI83" s="8">
        <v>10</v>
      </c>
      <c r="AJ83" s="8" t="b">
        <v>0</v>
      </c>
      <c r="AK83" s="5" t="b">
        <v>0</v>
      </c>
      <c r="AL83" s="5" t="b">
        <v>0</v>
      </c>
      <c r="AM83" s="6" t="s">
        <v>66</v>
      </c>
      <c r="AN83" s="5">
        <v>0</v>
      </c>
      <c r="AO83" s="5">
        <v>6</v>
      </c>
      <c r="AP83" s="5" t="b">
        <v>1</v>
      </c>
      <c r="AQ83" s="24" t="s">
        <v>109</v>
      </c>
      <c r="AR83" s="5">
        <v>1</v>
      </c>
      <c r="AS83" s="5">
        <v>48</v>
      </c>
      <c r="AT83" s="5" t="b">
        <v>0</v>
      </c>
      <c r="AU83" s="6" t="s">
        <v>66</v>
      </c>
      <c r="AV83" s="5">
        <v>0</v>
      </c>
      <c r="AW83" s="5">
        <v>6</v>
      </c>
      <c r="AX83" s="5" t="b">
        <v>0</v>
      </c>
      <c r="AY83" s="6" t="s">
        <v>66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42" t="s">
        <v>66</v>
      </c>
      <c r="BJ83" s="70"/>
      <c r="BK83" s="5" t="s">
        <v>0</v>
      </c>
      <c r="BL83" s="5">
        <v>0</v>
      </c>
      <c r="BM83" s="5" t="b">
        <v>0</v>
      </c>
      <c r="CO83" s="64" t="str">
        <f t="shared" si="4"/>
        <v>.DialogueDia</v>
      </c>
    </row>
    <row r="84" spans="1:93" x14ac:dyDescent="0.25">
      <c r="A84" s="71" t="str">
        <f t="shared" si="5"/>
        <v>Stage-Directions (Sd)</v>
      </c>
      <c r="C84" s="8" t="s">
        <v>517</v>
      </c>
      <c r="D84" s="8" t="s">
        <v>518</v>
      </c>
      <c r="E84" s="71" t="str">
        <f t="shared" si="6"/>
        <v>Stage-Directions (Sd)</v>
      </c>
      <c r="F84" s="5">
        <v>81</v>
      </c>
      <c r="G84" s="8" t="b">
        <v>0</v>
      </c>
      <c r="H84" s="5">
        <v>1</v>
      </c>
      <c r="I84" s="5" t="s">
        <v>1</v>
      </c>
      <c r="J84" s="5">
        <v>11</v>
      </c>
      <c r="K84" s="8" t="b">
        <v>0</v>
      </c>
      <c r="L84" s="5" t="b">
        <v>0</v>
      </c>
      <c r="M84" s="6" t="s">
        <v>66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1</v>
      </c>
      <c r="Y84" s="5" t="b">
        <v>0</v>
      </c>
      <c r="Z84" s="5" t="b">
        <v>0</v>
      </c>
      <c r="AA84" s="8">
        <v>0</v>
      </c>
      <c r="AB84" s="8">
        <v>0</v>
      </c>
      <c r="AC84" s="8">
        <v>6</v>
      </c>
      <c r="AD84" s="8">
        <v>6</v>
      </c>
      <c r="AE84" s="8">
        <v>2</v>
      </c>
      <c r="AF84" s="8">
        <v>24</v>
      </c>
      <c r="AG84" s="8">
        <v>0</v>
      </c>
      <c r="AH84" s="8">
        <v>36</v>
      </c>
      <c r="AI84" s="8">
        <v>10</v>
      </c>
      <c r="AJ84" s="8" t="b">
        <v>0</v>
      </c>
      <c r="AK84" s="5" t="b">
        <v>0</v>
      </c>
      <c r="AL84" s="5" t="b">
        <v>0</v>
      </c>
      <c r="AM84" s="6" t="s">
        <v>66</v>
      </c>
      <c r="AN84" s="5">
        <v>0</v>
      </c>
      <c r="AO84" s="5">
        <v>6</v>
      </c>
      <c r="AP84" s="5" t="b">
        <v>1</v>
      </c>
      <c r="AQ84" s="24" t="s">
        <v>109</v>
      </c>
      <c r="AR84" s="5">
        <v>1</v>
      </c>
      <c r="AS84" s="5">
        <v>48</v>
      </c>
      <c r="AT84" s="5" t="b">
        <v>0</v>
      </c>
      <c r="AU84" s="6" t="s">
        <v>66</v>
      </c>
      <c r="AV84" s="5">
        <v>0</v>
      </c>
      <c r="AW84" s="5">
        <v>6</v>
      </c>
      <c r="AX84" s="5" t="b">
        <v>0</v>
      </c>
      <c r="AY84" s="6" t="s">
        <v>66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42" t="s">
        <v>66</v>
      </c>
      <c r="BJ84" s="70"/>
      <c r="BK84" s="5" t="s">
        <v>0</v>
      </c>
      <c r="BL84" s="5">
        <v>0</v>
      </c>
      <c r="BM84" s="5" t="b">
        <v>0</v>
      </c>
      <c r="CO84" s="64" t="str">
        <f t="shared" si="4"/>
        <v>.Stage-DirectionsSd</v>
      </c>
    </row>
    <row r="85" spans="1:93" x14ac:dyDescent="0.25">
      <c r="A85" s="71" t="str">
        <f t="shared" si="5"/>
        <v>TOC-Frontmatter (Cfm)</v>
      </c>
      <c r="C85" s="8" t="s">
        <v>519</v>
      </c>
      <c r="D85" s="8" t="s">
        <v>520</v>
      </c>
      <c r="E85" s="71" t="str">
        <f t="shared" si="6"/>
        <v>TOC-Frontmatter (Cfm)</v>
      </c>
      <c r="F85" s="5">
        <v>82</v>
      </c>
      <c r="G85" s="8" t="b">
        <v>0</v>
      </c>
      <c r="H85" s="5">
        <v>1</v>
      </c>
      <c r="I85" s="5" t="s">
        <v>69</v>
      </c>
      <c r="J85" s="5">
        <v>12</v>
      </c>
      <c r="K85" s="8" t="b">
        <v>0</v>
      </c>
      <c r="L85" s="5" t="b">
        <v>0</v>
      </c>
      <c r="M85" s="6" t="s">
        <v>66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1</v>
      </c>
      <c r="Y85" s="5" t="b">
        <v>0</v>
      </c>
      <c r="Z85" s="5" t="b">
        <v>0</v>
      </c>
      <c r="AA85" s="8">
        <v>0</v>
      </c>
      <c r="AB85" s="8">
        <v>0</v>
      </c>
      <c r="AC85" s="8">
        <v>6</v>
      </c>
      <c r="AD85" s="8">
        <v>6</v>
      </c>
      <c r="AE85" s="8">
        <v>2</v>
      </c>
      <c r="AF85" s="8">
        <v>24</v>
      </c>
      <c r="AG85" s="8">
        <v>0</v>
      </c>
      <c r="AH85" s="8">
        <v>36</v>
      </c>
      <c r="AI85" s="8">
        <v>10</v>
      </c>
      <c r="AJ85" s="8" t="b">
        <v>0</v>
      </c>
      <c r="AK85" s="5" t="b">
        <v>0</v>
      </c>
      <c r="AL85" s="5" t="b">
        <v>0</v>
      </c>
      <c r="AM85" s="6" t="s">
        <v>66</v>
      </c>
      <c r="AN85" s="5">
        <v>0</v>
      </c>
      <c r="AO85" s="5">
        <v>6</v>
      </c>
      <c r="AP85" s="5" t="b">
        <v>1</v>
      </c>
      <c r="AQ85" s="24" t="s">
        <v>109</v>
      </c>
      <c r="AR85" s="5">
        <v>1</v>
      </c>
      <c r="AS85" s="5">
        <v>48</v>
      </c>
      <c r="AT85" s="5" t="b">
        <v>0</v>
      </c>
      <c r="AU85" s="6" t="s">
        <v>66</v>
      </c>
      <c r="AV85" s="5">
        <v>0</v>
      </c>
      <c r="AW85" s="5">
        <v>6</v>
      </c>
      <c r="AX85" s="5" t="b">
        <v>0</v>
      </c>
      <c r="AY85" s="6" t="s">
        <v>66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42" t="s">
        <v>66</v>
      </c>
      <c r="BJ85" s="70"/>
      <c r="BK85" s="5" t="s">
        <v>0</v>
      </c>
      <c r="BL85" s="5">
        <v>0</v>
      </c>
      <c r="BM85" s="5" t="b">
        <v>0</v>
      </c>
      <c r="CO85" s="64" t="str">
        <f t="shared" si="4"/>
        <v>.TOC-FrontmatterCfm</v>
      </c>
    </row>
    <row r="86" spans="1:93" x14ac:dyDescent="0.25">
      <c r="A86" s="71" t="str">
        <f t="shared" si="5"/>
        <v>TOC-Part (Cpt)</v>
      </c>
      <c r="C86" s="8" t="s">
        <v>521</v>
      </c>
      <c r="D86" s="8" t="s">
        <v>522</v>
      </c>
      <c r="E86" s="71" t="str">
        <f t="shared" si="6"/>
        <v>TOC-Part (Cpt)</v>
      </c>
      <c r="F86" s="5">
        <v>83</v>
      </c>
      <c r="G86" s="8" t="b">
        <v>0</v>
      </c>
      <c r="H86" s="5">
        <v>1</v>
      </c>
      <c r="I86" s="5" t="s">
        <v>69</v>
      </c>
      <c r="J86" s="5">
        <v>12</v>
      </c>
      <c r="K86" s="8" t="b">
        <v>0</v>
      </c>
      <c r="L86" s="5" t="b">
        <v>0</v>
      </c>
      <c r="M86" s="6" t="s">
        <v>66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0</v>
      </c>
      <c r="Y86" s="5" t="b">
        <v>0</v>
      </c>
      <c r="Z86" s="5" t="b">
        <v>0</v>
      </c>
      <c r="AA86" s="8">
        <v>0</v>
      </c>
      <c r="AB86" s="8">
        <v>0</v>
      </c>
      <c r="AC86" s="8">
        <v>6</v>
      </c>
      <c r="AD86" s="8">
        <v>6</v>
      </c>
      <c r="AE86" s="8">
        <v>2</v>
      </c>
      <c r="AF86" s="8">
        <v>24</v>
      </c>
      <c r="AG86" s="8">
        <v>0</v>
      </c>
      <c r="AH86" s="8">
        <v>36</v>
      </c>
      <c r="AI86" s="8">
        <v>10</v>
      </c>
      <c r="AJ86" s="8" t="b">
        <v>0</v>
      </c>
      <c r="AK86" s="5" t="b">
        <v>0</v>
      </c>
      <c r="AL86" s="5" t="b">
        <v>0</v>
      </c>
      <c r="AM86" s="6" t="s">
        <v>66</v>
      </c>
      <c r="AN86" s="5">
        <v>0</v>
      </c>
      <c r="AO86" s="5">
        <v>6</v>
      </c>
      <c r="AP86" s="5" t="b">
        <v>1</v>
      </c>
      <c r="AQ86" s="24" t="s">
        <v>109</v>
      </c>
      <c r="AR86" s="5">
        <v>1</v>
      </c>
      <c r="AS86" s="5">
        <v>48</v>
      </c>
      <c r="AT86" s="5" t="b">
        <v>0</v>
      </c>
      <c r="AU86" s="6" t="s">
        <v>66</v>
      </c>
      <c r="AV86" s="5">
        <v>0</v>
      </c>
      <c r="AW86" s="5">
        <v>6</v>
      </c>
      <c r="AX86" s="5" t="b">
        <v>0</v>
      </c>
      <c r="AY86" s="6" t="s">
        <v>66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42" t="s">
        <v>66</v>
      </c>
      <c r="BJ86" s="70"/>
      <c r="BK86" s="5" t="s">
        <v>0</v>
      </c>
      <c r="BL86" s="5">
        <v>0</v>
      </c>
      <c r="BM86" s="5" t="b">
        <v>0</v>
      </c>
      <c r="CO86" s="64" t="str">
        <f t="shared" si="4"/>
        <v>.TOC-PartCpt</v>
      </c>
    </row>
    <row r="87" spans="1:93" x14ac:dyDescent="0.25">
      <c r="A87" s="71" t="str">
        <f t="shared" si="5"/>
        <v>TOC-Chapter (Ccp)</v>
      </c>
      <c r="C87" s="8" t="s">
        <v>523</v>
      </c>
      <c r="D87" s="8" t="s">
        <v>524</v>
      </c>
      <c r="E87" s="71" t="str">
        <f t="shared" si="6"/>
        <v>TOC-Chapter (Ccp)</v>
      </c>
      <c r="F87" s="5">
        <v>84</v>
      </c>
      <c r="G87" s="8" t="b">
        <v>0</v>
      </c>
      <c r="H87" s="5">
        <v>1</v>
      </c>
      <c r="I87" s="5" t="s">
        <v>69</v>
      </c>
      <c r="J87" s="5">
        <v>12</v>
      </c>
      <c r="K87" s="8" t="b">
        <v>0</v>
      </c>
      <c r="L87" s="5" t="b">
        <v>0</v>
      </c>
      <c r="M87" s="6" t="s">
        <v>66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0</v>
      </c>
      <c r="Z87" s="5" t="b">
        <v>0</v>
      </c>
      <c r="AA87" s="8">
        <v>0</v>
      </c>
      <c r="AB87" s="8">
        <v>0</v>
      </c>
      <c r="AC87" s="8">
        <v>6</v>
      </c>
      <c r="AD87" s="8">
        <v>6</v>
      </c>
      <c r="AE87" s="8">
        <v>2</v>
      </c>
      <c r="AF87" s="8">
        <v>24</v>
      </c>
      <c r="AG87" s="8">
        <v>0</v>
      </c>
      <c r="AH87" s="8">
        <v>36</v>
      </c>
      <c r="AI87" s="8">
        <v>10</v>
      </c>
      <c r="AJ87" s="8" t="b">
        <v>0</v>
      </c>
      <c r="AK87" s="5" t="b">
        <v>0</v>
      </c>
      <c r="AL87" s="5" t="b">
        <v>0</v>
      </c>
      <c r="AM87" s="6" t="s">
        <v>66</v>
      </c>
      <c r="AN87" s="5">
        <v>0</v>
      </c>
      <c r="AO87" s="5">
        <v>6</v>
      </c>
      <c r="AP87" s="5" t="b">
        <v>1</v>
      </c>
      <c r="AQ87" s="24" t="s">
        <v>109</v>
      </c>
      <c r="AR87" s="5">
        <v>1</v>
      </c>
      <c r="AS87" s="5">
        <v>48</v>
      </c>
      <c r="AT87" s="5" t="b">
        <v>0</v>
      </c>
      <c r="AU87" s="6" t="s">
        <v>66</v>
      </c>
      <c r="AV87" s="5">
        <v>0</v>
      </c>
      <c r="AW87" s="5">
        <v>6</v>
      </c>
      <c r="AX87" s="5" t="b">
        <v>0</v>
      </c>
      <c r="AY87" s="6" t="s">
        <v>66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42" t="s">
        <v>66</v>
      </c>
      <c r="BJ87" s="70"/>
      <c r="BK87" s="5" t="s">
        <v>0</v>
      </c>
      <c r="BL87" s="5">
        <v>0</v>
      </c>
      <c r="BM87" s="5" t="b">
        <v>0</v>
      </c>
      <c r="CO87" s="64" t="str">
        <f t="shared" si="4"/>
        <v>.TOC-ChapterCcp</v>
      </c>
    </row>
    <row r="88" spans="1:93" x14ac:dyDescent="0.25">
      <c r="A88" s="71" t="str">
        <f t="shared" si="5"/>
        <v>TOC-Subhead (Csb)</v>
      </c>
      <c r="C88" s="8" t="s">
        <v>525</v>
      </c>
      <c r="D88" s="8" t="s">
        <v>526</v>
      </c>
      <c r="E88" s="71" t="str">
        <f t="shared" si="6"/>
        <v>TOC-Subhead (Csb)</v>
      </c>
      <c r="F88" s="5">
        <v>85</v>
      </c>
      <c r="G88" s="8" t="b">
        <v>0</v>
      </c>
      <c r="H88" s="5">
        <v>1</v>
      </c>
      <c r="I88" s="5" t="s">
        <v>69</v>
      </c>
      <c r="J88" s="5">
        <v>12</v>
      </c>
      <c r="K88" s="8" t="b">
        <v>0</v>
      </c>
      <c r="L88" s="5" t="b">
        <v>0</v>
      </c>
      <c r="M88" s="6" t="s">
        <v>66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1</v>
      </c>
      <c r="Y88" s="5" t="b">
        <v>0</v>
      </c>
      <c r="Z88" s="5" t="b">
        <v>0</v>
      </c>
      <c r="AA88" s="8">
        <v>0</v>
      </c>
      <c r="AB88" s="8">
        <v>0</v>
      </c>
      <c r="AC88" s="8">
        <v>6</v>
      </c>
      <c r="AD88" s="8">
        <v>6</v>
      </c>
      <c r="AE88" s="8">
        <v>2</v>
      </c>
      <c r="AF88" s="8">
        <v>24</v>
      </c>
      <c r="AG88" s="8">
        <v>0</v>
      </c>
      <c r="AH88" s="8">
        <v>36</v>
      </c>
      <c r="AI88" s="8">
        <v>10</v>
      </c>
      <c r="AJ88" s="8" t="b">
        <v>0</v>
      </c>
      <c r="AK88" s="5" t="b">
        <v>0</v>
      </c>
      <c r="AL88" s="5" t="b">
        <v>0</v>
      </c>
      <c r="AM88" s="6" t="s">
        <v>66</v>
      </c>
      <c r="AN88" s="5">
        <v>0</v>
      </c>
      <c r="AO88" s="5">
        <v>6</v>
      </c>
      <c r="AP88" s="5" t="b">
        <v>1</v>
      </c>
      <c r="AQ88" s="24" t="s">
        <v>109</v>
      </c>
      <c r="AR88" s="5">
        <v>1</v>
      </c>
      <c r="AS88" s="5">
        <v>48</v>
      </c>
      <c r="AT88" s="5" t="b">
        <v>0</v>
      </c>
      <c r="AU88" s="6" t="s">
        <v>66</v>
      </c>
      <c r="AV88" s="5">
        <v>0</v>
      </c>
      <c r="AW88" s="5">
        <v>6</v>
      </c>
      <c r="AX88" s="5" t="b">
        <v>0</v>
      </c>
      <c r="AY88" s="6" t="s">
        <v>66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42" t="s">
        <v>66</v>
      </c>
      <c r="BJ88" s="70"/>
      <c r="BK88" s="5" t="s">
        <v>0</v>
      </c>
      <c r="BL88" s="5">
        <v>0</v>
      </c>
      <c r="BM88" s="5" t="b">
        <v>0</v>
      </c>
      <c r="CO88" s="64" t="str">
        <f t="shared" si="4"/>
        <v>.TOC-SubheadCsb</v>
      </c>
    </row>
    <row r="89" spans="1:93" x14ac:dyDescent="0.25">
      <c r="A89" s="71" t="str">
        <f t="shared" si="5"/>
        <v>TOC-Backmatter (Cbm)</v>
      </c>
      <c r="C89" s="8" t="s">
        <v>527</v>
      </c>
      <c r="D89" s="8" t="s">
        <v>528</v>
      </c>
      <c r="E89" s="71" t="str">
        <f t="shared" si="6"/>
        <v>TOC-Backmatter (Cbm)</v>
      </c>
      <c r="F89" s="5">
        <v>86</v>
      </c>
      <c r="G89" s="8" t="b">
        <v>0</v>
      </c>
      <c r="H89" s="5">
        <v>1</v>
      </c>
      <c r="I89" s="5" t="s">
        <v>69</v>
      </c>
      <c r="J89" s="5">
        <v>12</v>
      </c>
      <c r="K89" s="8" t="b">
        <v>0</v>
      </c>
      <c r="L89" s="5" t="b">
        <v>0</v>
      </c>
      <c r="M89" s="6" t="s">
        <v>66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1</v>
      </c>
      <c r="Y89" s="5" t="b">
        <v>0</v>
      </c>
      <c r="Z89" s="5" t="b">
        <v>0</v>
      </c>
      <c r="AA89" s="8">
        <v>0</v>
      </c>
      <c r="AB89" s="8">
        <v>0</v>
      </c>
      <c r="AC89" s="8">
        <v>6</v>
      </c>
      <c r="AD89" s="8">
        <v>6</v>
      </c>
      <c r="AE89" s="8">
        <v>2</v>
      </c>
      <c r="AF89" s="8">
        <v>24</v>
      </c>
      <c r="AG89" s="8">
        <v>0</v>
      </c>
      <c r="AH89" s="8">
        <v>36</v>
      </c>
      <c r="AI89" s="8">
        <v>10</v>
      </c>
      <c r="AJ89" s="8" t="b">
        <v>0</v>
      </c>
      <c r="AK89" s="5" t="b">
        <v>0</v>
      </c>
      <c r="AL89" s="5" t="b">
        <v>0</v>
      </c>
      <c r="AM89" s="6" t="s">
        <v>66</v>
      </c>
      <c r="AN89" s="5">
        <v>0</v>
      </c>
      <c r="AO89" s="5">
        <v>6</v>
      </c>
      <c r="AP89" s="5" t="b">
        <v>1</v>
      </c>
      <c r="AQ89" s="24" t="s">
        <v>109</v>
      </c>
      <c r="AR89" s="5">
        <v>1</v>
      </c>
      <c r="AS89" s="5">
        <v>48</v>
      </c>
      <c r="AT89" s="5" t="b">
        <v>0</v>
      </c>
      <c r="AU89" s="6" t="s">
        <v>66</v>
      </c>
      <c r="AV89" s="5">
        <v>0</v>
      </c>
      <c r="AW89" s="5">
        <v>6</v>
      </c>
      <c r="AX89" s="5" t="b">
        <v>0</v>
      </c>
      <c r="AY89" s="6" t="s">
        <v>66</v>
      </c>
      <c r="AZ89" s="5">
        <v>0</v>
      </c>
      <c r="BA89" s="5">
        <v>6</v>
      </c>
      <c r="BB89" s="5">
        <v>4</v>
      </c>
      <c r="BC89" s="5">
        <v>4</v>
      </c>
      <c r="BD89" s="5">
        <v>1</v>
      </c>
      <c r="BE89" s="5">
        <v>1</v>
      </c>
      <c r="BF89" s="42" t="s">
        <v>66</v>
      </c>
      <c r="BJ89" s="70"/>
      <c r="BK89" s="5" t="s">
        <v>0</v>
      </c>
      <c r="BL89" s="5">
        <v>0</v>
      </c>
      <c r="BM89" s="5" t="b">
        <v>0</v>
      </c>
      <c r="CO89" s="64" t="str">
        <f t="shared" si="4"/>
        <v>.TOC-BackmatterCbm</v>
      </c>
    </row>
    <row r="90" spans="1:93" x14ac:dyDescent="0.25">
      <c r="A90" s="71" t="str">
        <f t="shared" si="5"/>
        <v>Blank-Line-Space (Bls)</v>
      </c>
      <c r="C90" s="8" t="s">
        <v>529</v>
      </c>
      <c r="D90" s="8" t="s">
        <v>530</v>
      </c>
      <c r="E90" s="8" t="s">
        <v>593</v>
      </c>
      <c r="F90" s="5">
        <v>87</v>
      </c>
      <c r="G90" s="8" t="b">
        <v>1</v>
      </c>
      <c r="H90" s="5">
        <v>1</v>
      </c>
      <c r="I90" s="5" t="s">
        <v>69</v>
      </c>
      <c r="J90" s="5">
        <v>12</v>
      </c>
      <c r="K90" s="8" t="b">
        <v>0</v>
      </c>
      <c r="L90" s="5" t="b">
        <v>0</v>
      </c>
      <c r="M90" s="6" t="s">
        <v>66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0</v>
      </c>
      <c r="Y90" s="5" t="b">
        <v>0</v>
      </c>
      <c r="Z90" s="5" t="b">
        <v>0</v>
      </c>
      <c r="AA90" s="8">
        <v>0</v>
      </c>
      <c r="AB90" s="8">
        <v>0</v>
      </c>
      <c r="AC90" s="8">
        <v>6</v>
      </c>
      <c r="AD90" s="8">
        <v>6</v>
      </c>
      <c r="AE90" s="8">
        <v>2</v>
      </c>
      <c r="AF90" s="8">
        <v>24</v>
      </c>
      <c r="AG90" s="8">
        <v>1</v>
      </c>
      <c r="AH90" s="8">
        <v>0</v>
      </c>
      <c r="AI90" s="8">
        <v>10</v>
      </c>
      <c r="AJ90" s="8" t="b">
        <v>0</v>
      </c>
      <c r="AK90" s="5" t="b">
        <v>0</v>
      </c>
      <c r="AL90" s="5" t="b">
        <v>0</v>
      </c>
      <c r="AM90" s="6" t="s">
        <v>66</v>
      </c>
      <c r="AN90" s="5">
        <v>0</v>
      </c>
      <c r="AO90" s="5">
        <v>6</v>
      </c>
      <c r="AP90" s="5" t="b">
        <v>1</v>
      </c>
      <c r="AQ90" s="19" t="s">
        <v>118</v>
      </c>
      <c r="AR90" s="5">
        <v>1</v>
      </c>
      <c r="AS90" s="5">
        <v>48</v>
      </c>
      <c r="AT90" s="5" t="b">
        <v>0</v>
      </c>
      <c r="AU90" s="6" t="s">
        <v>66</v>
      </c>
      <c r="AV90" s="5">
        <v>0</v>
      </c>
      <c r="AW90" s="5">
        <v>6</v>
      </c>
      <c r="AX90" s="5" t="b">
        <v>0</v>
      </c>
      <c r="AY90" s="6" t="s">
        <v>66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19" t="s">
        <v>118</v>
      </c>
      <c r="BJ90" s="70"/>
      <c r="BK90" s="5" t="s">
        <v>0</v>
      </c>
      <c r="BL90" s="5">
        <v>0</v>
      </c>
      <c r="BM90" s="5" t="b">
        <v>0</v>
      </c>
      <c r="CO90" s="64" t="str">
        <f t="shared" si="4"/>
        <v>.Blank-Line-SpaceBls</v>
      </c>
    </row>
    <row r="91" spans="1:93" x14ac:dyDescent="0.25">
      <c r="A91" s="71" t="str">
        <f t="shared" si="5"/>
        <v>Ornamented-Line-Space (Ols)</v>
      </c>
      <c r="C91" s="8" t="s">
        <v>531</v>
      </c>
      <c r="D91" s="8" t="s">
        <v>532</v>
      </c>
      <c r="E91" s="8" t="s">
        <v>593</v>
      </c>
      <c r="F91" s="5">
        <v>88</v>
      </c>
      <c r="G91" s="8" t="b">
        <v>1</v>
      </c>
      <c r="H91" s="5">
        <v>1</v>
      </c>
      <c r="I91" s="5" t="s">
        <v>69</v>
      </c>
      <c r="J91" s="5">
        <v>12</v>
      </c>
      <c r="K91" s="8" t="b">
        <v>0</v>
      </c>
      <c r="L91" s="5" t="b">
        <v>0</v>
      </c>
      <c r="M91" s="6" t="s">
        <v>66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0</v>
      </c>
      <c r="Y91" s="5" t="b">
        <v>0</v>
      </c>
      <c r="Z91" s="5" t="b">
        <v>0</v>
      </c>
      <c r="AA91" s="8">
        <v>0</v>
      </c>
      <c r="AB91" s="8">
        <v>0</v>
      </c>
      <c r="AC91" s="8">
        <v>6</v>
      </c>
      <c r="AD91" s="8">
        <v>6</v>
      </c>
      <c r="AE91" s="8">
        <v>2</v>
      </c>
      <c r="AF91" s="8">
        <v>24</v>
      </c>
      <c r="AG91" s="8">
        <v>1</v>
      </c>
      <c r="AH91" s="8">
        <v>0</v>
      </c>
      <c r="AI91" s="8">
        <v>10</v>
      </c>
      <c r="AJ91" s="8" t="b">
        <v>0</v>
      </c>
      <c r="AK91" s="5" t="b">
        <v>0</v>
      </c>
      <c r="AL91" s="5" t="b">
        <v>0</v>
      </c>
      <c r="AM91" s="6" t="s">
        <v>66</v>
      </c>
      <c r="AN91" s="5">
        <v>0</v>
      </c>
      <c r="AO91" s="5">
        <v>6</v>
      </c>
      <c r="AP91" s="5" t="b">
        <v>1</v>
      </c>
      <c r="AQ91" s="19" t="s">
        <v>118</v>
      </c>
      <c r="AR91" s="5">
        <v>1</v>
      </c>
      <c r="AS91" s="5">
        <v>48</v>
      </c>
      <c r="AT91" s="5" t="b">
        <v>0</v>
      </c>
      <c r="AU91" s="6" t="s">
        <v>66</v>
      </c>
      <c r="AV91" s="5">
        <v>0</v>
      </c>
      <c r="AW91" s="5">
        <v>6</v>
      </c>
      <c r="AX91" s="5" t="b">
        <v>0</v>
      </c>
      <c r="AY91" s="6" t="s">
        <v>66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19" t="s">
        <v>118</v>
      </c>
      <c r="BJ91" s="70"/>
      <c r="BK91" s="5" t="s">
        <v>0</v>
      </c>
      <c r="BL91" s="5">
        <v>0</v>
      </c>
      <c r="BM91" s="5" t="b">
        <v>0</v>
      </c>
      <c r="CO91" s="64" t="str">
        <f t="shared" si="4"/>
        <v>.Ornamented-Line-SpaceOls</v>
      </c>
    </row>
    <row r="92" spans="1:93" x14ac:dyDescent="0.25">
      <c r="A92" s="71" t="str">
        <f t="shared" si="5"/>
        <v>Page-Break (Pb)</v>
      </c>
      <c r="C92" s="8" t="s">
        <v>533</v>
      </c>
      <c r="D92" s="8" t="s">
        <v>534</v>
      </c>
      <c r="E92" s="8" t="s">
        <v>593</v>
      </c>
      <c r="F92" s="5">
        <v>89</v>
      </c>
      <c r="G92" s="8" t="b">
        <v>0</v>
      </c>
      <c r="H92" s="5">
        <v>1</v>
      </c>
      <c r="I92" s="5" t="s">
        <v>69</v>
      </c>
      <c r="J92" s="5">
        <v>12</v>
      </c>
      <c r="K92" s="8" t="b">
        <v>0</v>
      </c>
      <c r="L92" s="5" t="b">
        <v>0</v>
      </c>
      <c r="M92" s="6" t="s">
        <v>66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0</v>
      </c>
      <c r="Y92" s="5" t="b">
        <v>0</v>
      </c>
      <c r="Z92" s="5" t="b">
        <v>0</v>
      </c>
      <c r="AA92" s="8">
        <v>0</v>
      </c>
      <c r="AB92" s="8">
        <v>0</v>
      </c>
      <c r="AC92" s="8">
        <v>6</v>
      </c>
      <c r="AD92" s="8">
        <v>6</v>
      </c>
      <c r="AE92" s="8">
        <v>2</v>
      </c>
      <c r="AF92" s="8">
        <v>24</v>
      </c>
      <c r="AG92" s="8">
        <v>1</v>
      </c>
      <c r="AH92" s="8">
        <v>0</v>
      </c>
      <c r="AI92" s="8">
        <v>10</v>
      </c>
      <c r="AJ92" s="8" t="b">
        <v>0</v>
      </c>
      <c r="AK92" s="5" t="b">
        <v>0</v>
      </c>
      <c r="AL92" s="5" t="b">
        <v>0</v>
      </c>
      <c r="AM92" s="6" t="s">
        <v>66</v>
      </c>
      <c r="AN92" s="5">
        <v>0</v>
      </c>
      <c r="AO92" s="5">
        <v>6</v>
      </c>
      <c r="AP92" s="5" t="b">
        <v>1</v>
      </c>
      <c r="AQ92" s="19" t="s">
        <v>118</v>
      </c>
      <c r="AR92" s="5">
        <v>1</v>
      </c>
      <c r="AS92" s="5">
        <v>48</v>
      </c>
      <c r="AT92" s="5" t="b">
        <v>0</v>
      </c>
      <c r="AU92" s="6" t="s">
        <v>66</v>
      </c>
      <c r="AV92" s="5">
        <v>0</v>
      </c>
      <c r="AW92" s="5">
        <v>6</v>
      </c>
      <c r="AX92" s="5" t="b">
        <v>0</v>
      </c>
      <c r="AY92" s="6" t="s">
        <v>66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19" t="s">
        <v>118</v>
      </c>
      <c r="BJ92" s="70"/>
      <c r="BK92" s="5" t="s">
        <v>0</v>
      </c>
      <c r="BL92" s="5">
        <v>0</v>
      </c>
      <c r="BM92" s="5" t="b">
        <v>0</v>
      </c>
      <c r="CO92" s="64" t="str">
        <f t="shared" si="4"/>
        <v>.Page-BreakPb</v>
      </c>
    </row>
    <row r="93" spans="1:93" x14ac:dyDescent="0.25">
      <c r="A93" s="71" t="str">
        <f t="shared" si="5"/>
        <v>Design-Note (Dn)</v>
      </c>
      <c r="C93" s="8" t="s">
        <v>535</v>
      </c>
      <c r="D93" s="8" t="s">
        <v>536</v>
      </c>
      <c r="E93" s="71" t="str">
        <f t="shared" ref="E93:E94" si="7">IF($D93="","",TRIM($C93)&amp;" "&amp;CHAR(40)&amp;TRIM($D93)&amp;CHAR(41))</f>
        <v>Design-Note (Dn)</v>
      </c>
      <c r="F93" s="5">
        <v>90</v>
      </c>
      <c r="G93" s="8" t="b">
        <v>1</v>
      </c>
      <c r="H93" s="5">
        <v>1</v>
      </c>
      <c r="I93" s="5" t="s">
        <v>79</v>
      </c>
      <c r="J93" s="5">
        <v>11</v>
      </c>
      <c r="K93" s="8" t="b">
        <v>0</v>
      </c>
      <c r="L93" s="5" t="b">
        <v>0</v>
      </c>
      <c r="M93" s="15" t="s">
        <v>75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0</v>
      </c>
      <c r="Y93" s="5" t="b">
        <v>0</v>
      </c>
      <c r="Z93" s="5" t="b">
        <v>0</v>
      </c>
      <c r="AA93" s="8">
        <v>0</v>
      </c>
      <c r="AB93" s="8">
        <v>0</v>
      </c>
      <c r="AC93" s="8">
        <v>6</v>
      </c>
      <c r="AD93" s="8">
        <v>6</v>
      </c>
      <c r="AE93" s="8">
        <v>2</v>
      </c>
      <c r="AF93" s="8">
        <v>24</v>
      </c>
      <c r="AG93" s="8">
        <v>0</v>
      </c>
      <c r="AH93" s="8">
        <v>36</v>
      </c>
      <c r="AI93" s="8">
        <v>10</v>
      </c>
      <c r="AJ93" s="8" t="b">
        <v>0</v>
      </c>
      <c r="AK93" s="5" t="b">
        <v>0</v>
      </c>
      <c r="AL93" s="5" t="b">
        <v>0</v>
      </c>
      <c r="AM93" s="6" t="s">
        <v>66</v>
      </c>
      <c r="AN93" s="5">
        <v>0</v>
      </c>
      <c r="AO93" s="5">
        <v>6</v>
      </c>
      <c r="AP93" s="5" t="b">
        <v>1</v>
      </c>
      <c r="AQ93" s="16" t="s">
        <v>75</v>
      </c>
      <c r="AR93" s="5">
        <v>1</v>
      </c>
      <c r="AS93" s="5">
        <v>48</v>
      </c>
      <c r="AT93" s="5" t="b">
        <v>0</v>
      </c>
      <c r="AU93" s="6" t="s">
        <v>66</v>
      </c>
      <c r="AV93" s="5">
        <v>0</v>
      </c>
      <c r="AW93" s="5">
        <v>6</v>
      </c>
      <c r="AX93" s="5" t="b">
        <v>0</v>
      </c>
      <c r="AY93" s="6" t="s">
        <v>66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42" t="s">
        <v>66</v>
      </c>
      <c r="BJ93" s="70"/>
      <c r="BK93" s="5" t="s">
        <v>0</v>
      </c>
      <c r="BL93" s="5">
        <v>0</v>
      </c>
      <c r="BM93" s="5" t="b">
        <v>0</v>
      </c>
      <c r="CO93" s="64" t="str">
        <f t="shared" si="4"/>
        <v>.Design-NoteDn</v>
      </c>
    </row>
    <row r="94" spans="1:93" x14ac:dyDescent="0.25">
      <c r="A94" s="71" t="str">
        <f t="shared" si="5"/>
        <v>Bookmaker-Processing-Instruction (Bpi)</v>
      </c>
      <c r="C94" s="8" t="s">
        <v>537</v>
      </c>
      <c r="D94" s="8" t="s">
        <v>538</v>
      </c>
      <c r="E94" s="71" t="str">
        <f t="shared" si="7"/>
        <v>Bookmaker-Processing-Instruction (Bpi)</v>
      </c>
      <c r="F94" s="5">
        <v>91</v>
      </c>
      <c r="G94" s="8" t="b">
        <v>0</v>
      </c>
      <c r="H94" s="5">
        <v>1</v>
      </c>
      <c r="I94" s="5" t="s">
        <v>79</v>
      </c>
      <c r="J94" s="5">
        <v>11</v>
      </c>
      <c r="K94" s="8" t="b">
        <v>0</v>
      </c>
      <c r="L94" s="5" t="b">
        <v>0</v>
      </c>
      <c r="M94" s="6" t="s">
        <v>66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0</v>
      </c>
      <c r="Z94" s="5" t="b">
        <v>0</v>
      </c>
      <c r="AA94" s="8">
        <v>0</v>
      </c>
      <c r="AB94" s="8">
        <v>0</v>
      </c>
      <c r="AC94" s="8">
        <v>6</v>
      </c>
      <c r="AD94" s="8">
        <v>6</v>
      </c>
      <c r="AE94" s="8">
        <v>2</v>
      </c>
      <c r="AF94" s="8">
        <v>24</v>
      </c>
      <c r="AG94" s="8">
        <v>0</v>
      </c>
      <c r="AH94" s="8">
        <v>36</v>
      </c>
      <c r="AI94" s="8">
        <v>10</v>
      </c>
      <c r="AJ94" s="8" t="b">
        <v>0</v>
      </c>
      <c r="AK94" s="5" t="b">
        <v>0</v>
      </c>
      <c r="AL94" s="5" t="b">
        <v>0</v>
      </c>
      <c r="AM94" s="6" t="s">
        <v>66</v>
      </c>
      <c r="AN94" s="5">
        <v>0</v>
      </c>
      <c r="AO94" s="5">
        <v>6</v>
      </c>
      <c r="AP94" s="5" t="b">
        <v>1</v>
      </c>
      <c r="AQ94" s="34" t="s">
        <v>84</v>
      </c>
      <c r="AR94" s="5">
        <v>1</v>
      </c>
      <c r="AS94" s="5">
        <v>48</v>
      </c>
      <c r="AT94" s="5" t="b">
        <v>0</v>
      </c>
      <c r="AU94" s="6" t="s">
        <v>66</v>
      </c>
      <c r="AV94" s="5">
        <v>0</v>
      </c>
      <c r="AW94" s="5">
        <v>6</v>
      </c>
      <c r="AX94" s="5" t="b">
        <v>0</v>
      </c>
      <c r="AY94" s="6" t="s">
        <v>66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42" t="s">
        <v>66</v>
      </c>
      <c r="BJ94" s="70"/>
      <c r="BK94" s="5" t="s">
        <v>0</v>
      </c>
      <c r="BL94" s="5">
        <v>0</v>
      </c>
      <c r="BM94" s="5" t="b">
        <v>0</v>
      </c>
      <c r="CO94" s="64" t="str">
        <f t="shared" si="4"/>
        <v>.Bookmaker-Processing-InstructionBpi</v>
      </c>
    </row>
    <row r="95" spans="1:93" x14ac:dyDescent="0.25">
      <c r="A95" s="71" t="str">
        <f t="shared" si="5"/>
        <v>EXTRACT-A (EXT-A)</v>
      </c>
      <c r="C95" s="8" t="s">
        <v>539</v>
      </c>
      <c r="D95" s="8" t="s">
        <v>540</v>
      </c>
      <c r="F95" s="5">
        <v>92</v>
      </c>
      <c r="H95" s="8">
        <v>3</v>
      </c>
      <c r="I95" s="5"/>
      <c r="J95" s="8">
        <v>12</v>
      </c>
      <c r="K95" s="8" t="b">
        <v>0</v>
      </c>
      <c r="L95" s="5" t="b">
        <v>0</v>
      </c>
      <c r="M95" s="6" t="s">
        <v>66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/>
      <c r="Y95" s="5"/>
      <c r="Z95" s="5"/>
      <c r="AK95" s="5"/>
      <c r="AL95" s="5" t="b">
        <v>0</v>
      </c>
      <c r="AM95" s="6" t="s">
        <v>66</v>
      </c>
      <c r="AN95" s="5">
        <v>0</v>
      </c>
      <c r="AO95" s="5">
        <v>6</v>
      </c>
      <c r="AP95" s="5" t="b">
        <v>1</v>
      </c>
      <c r="AQ95" s="27" t="s">
        <v>82</v>
      </c>
      <c r="AR95" s="5">
        <v>1</v>
      </c>
      <c r="AS95" s="5">
        <v>48</v>
      </c>
      <c r="AT95" s="5" t="b">
        <v>0</v>
      </c>
      <c r="AU95" s="6" t="s">
        <v>66</v>
      </c>
      <c r="AV95" s="5">
        <v>0</v>
      </c>
      <c r="AW95" s="5">
        <v>6</v>
      </c>
      <c r="AX95" s="5" t="b">
        <v>0</v>
      </c>
      <c r="AY95" s="6" t="s">
        <v>66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J95" s="70"/>
      <c r="BM95" s="5" t="b">
        <v>0</v>
      </c>
      <c r="CO95" s="64" t="str">
        <f t="shared" si="4"/>
        <v>.EXTRACT-AEXT-A</v>
      </c>
    </row>
    <row r="96" spans="1:93" x14ac:dyDescent="0.25">
      <c r="A96" s="71" t="str">
        <f t="shared" si="5"/>
        <v>EPIGRAPH (EPI)</v>
      </c>
      <c r="C96" s="8" t="s">
        <v>541</v>
      </c>
      <c r="D96" s="8" t="s">
        <v>542</v>
      </c>
      <c r="F96" s="5">
        <v>93</v>
      </c>
      <c r="H96" s="8">
        <v>3</v>
      </c>
      <c r="I96" s="5"/>
      <c r="J96" s="8">
        <v>12</v>
      </c>
      <c r="K96" s="8" t="b">
        <v>0</v>
      </c>
      <c r="L96" s="5" t="b">
        <v>0</v>
      </c>
      <c r="M96" s="6" t="s">
        <v>66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/>
      <c r="Y96" s="5"/>
      <c r="Z96" s="5"/>
      <c r="AK96" s="5"/>
      <c r="AL96" s="5" t="b">
        <v>0</v>
      </c>
      <c r="AM96" s="6" t="s">
        <v>66</v>
      </c>
      <c r="AN96" s="5">
        <v>0</v>
      </c>
      <c r="AO96" s="5">
        <v>6</v>
      </c>
      <c r="AP96" s="5" t="b">
        <v>1</v>
      </c>
      <c r="AQ96" s="28" t="s">
        <v>116</v>
      </c>
      <c r="AR96" s="5">
        <v>1</v>
      </c>
      <c r="AS96" s="5">
        <v>48</v>
      </c>
      <c r="AT96" s="5" t="b">
        <v>0</v>
      </c>
      <c r="AU96" s="6" t="s">
        <v>66</v>
      </c>
      <c r="AV96" s="5">
        <v>0</v>
      </c>
      <c r="AW96" s="5">
        <v>6</v>
      </c>
      <c r="AX96" s="5" t="b">
        <v>0</v>
      </c>
      <c r="AY96" s="6" t="s">
        <v>66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J96" s="70"/>
      <c r="BM96" s="5" t="b">
        <v>0</v>
      </c>
      <c r="CO96" s="64" t="str">
        <f t="shared" si="4"/>
        <v>.EPIGRAPHEPI</v>
      </c>
    </row>
    <row r="97" spans="1:93" x14ac:dyDescent="0.25">
      <c r="A97" s="71" t="str">
        <f t="shared" si="5"/>
        <v>BOX (BX)</v>
      </c>
      <c r="C97" s="8" t="s">
        <v>543</v>
      </c>
      <c r="D97" s="8" t="s">
        <v>544</v>
      </c>
      <c r="F97" s="5">
        <v>94</v>
      </c>
      <c r="H97" s="8">
        <v>3</v>
      </c>
      <c r="I97" s="5"/>
      <c r="J97" s="8">
        <v>12</v>
      </c>
      <c r="K97" s="8" t="b">
        <v>0</v>
      </c>
      <c r="L97" s="5" t="b">
        <v>0</v>
      </c>
      <c r="M97" s="6" t="s">
        <v>66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/>
      <c r="Y97" s="5"/>
      <c r="Z97" s="5"/>
      <c r="AK97" s="5"/>
      <c r="AL97" s="5" t="b">
        <v>0</v>
      </c>
      <c r="AM97" s="6" t="s">
        <v>66</v>
      </c>
      <c r="AN97" s="5">
        <v>0</v>
      </c>
      <c r="AO97" s="5">
        <v>6</v>
      </c>
      <c r="AP97" s="5" t="b">
        <v>1</v>
      </c>
      <c r="AQ97" s="17" t="s">
        <v>76</v>
      </c>
      <c r="AR97" s="5">
        <v>1</v>
      </c>
      <c r="AS97" s="5">
        <v>48</v>
      </c>
      <c r="AT97" s="5" t="b">
        <v>0</v>
      </c>
      <c r="AU97" s="6" t="s">
        <v>66</v>
      </c>
      <c r="AV97" s="5">
        <v>0</v>
      </c>
      <c r="AW97" s="5">
        <v>6</v>
      </c>
      <c r="AX97" s="5" t="b">
        <v>0</v>
      </c>
      <c r="AY97" s="6" t="s">
        <v>66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J97" s="70"/>
      <c r="BM97" s="5" t="b">
        <v>0</v>
      </c>
      <c r="CO97" s="64" t="str">
        <f t="shared" ref="CO97:CO122" si="8">"."&amp;SUBSTITUTE(SUBSTITUTE(SUBSTITUTE(SUBSTITUTE(A97, "(",""),")","")," ",""),"#","")</f>
        <v>.BOXBX</v>
      </c>
    </row>
    <row r="98" spans="1:93" x14ac:dyDescent="0.25">
      <c r="A98" s="71" t="str">
        <f t="shared" si="5"/>
        <v>LETTER (LTR)</v>
      </c>
      <c r="C98" s="8" t="s">
        <v>545</v>
      </c>
      <c r="D98" s="8" t="s">
        <v>546</v>
      </c>
      <c r="F98" s="5">
        <v>95</v>
      </c>
      <c r="H98" s="8">
        <v>3</v>
      </c>
      <c r="I98" s="5"/>
      <c r="J98" s="8">
        <v>12</v>
      </c>
      <c r="K98" s="8" t="b">
        <v>0</v>
      </c>
      <c r="L98" s="5" t="b">
        <v>0</v>
      </c>
      <c r="M98" s="6" t="s">
        <v>66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/>
      <c r="Y98" s="5"/>
      <c r="Z98" s="5"/>
      <c r="AK98" s="5"/>
      <c r="AL98" s="5" t="b">
        <v>0</v>
      </c>
      <c r="AM98" s="6" t="s">
        <v>66</v>
      </c>
      <c r="AN98" s="5">
        <v>0</v>
      </c>
      <c r="AO98" s="5">
        <v>6</v>
      </c>
      <c r="AP98" s="5" t="b">
        <v>1</v>
      </c>
      <c r="AQ98" s="16" t="s">
        <v>75</v>
      </c>
      <c r="AR98" s="5">
        <v>1</v>
      </c>
      <c r="AS98" s="5">
        <v>48</v>
      </c>
      <c r="AT98" s="5" t="b">
        <v>0</v>
      </c>
      <c r="AU98" s="6" t="s">
        <v>66</v>
      </c>
      <c r="AV98" s="5">
        <v>0</v>
      </c>
      <c r="AW98" s="5">
        <v>6</v>
      </c>
      <c r="AX98" s="5" t="b">
        <v>0</v>
      </c>
      <c r="AY98" s="6" t="s">
        <v>66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J98" s="70"/>
      <c r="BM98" s="5" t="b">
        <v>0</v>
      </c>
      <c r="CO98" s="64" t="str">
        <f t="shared" si="8"/>
        <v>.LETTERLTR</v>
      </c>
    </row>
    <row r="99" spans="1:93" x14ac:dyDescent="0.25">
      <c r="A99" s="71" t="str">
        <f t="shared" si="5"/>
        <v>EMAIL (EML)</v>
      </c>
      <c r="C99" s="8" t="s">
        <v>547</v>
      </c>
      <c r="D99" s="8" t="s">
        <v>548</v>
      </c>
      <c r="F99" s="5">
        <v>96</v>
      </c>
      <c r="H99" s="8">
        <v>3</v>
      </c>
      <c r="I99" s="5"/>
      <c r="J99" s="8">
        <v>12</v>
      </c>
      <c r="K99" s="8" t="b">
        <v>0</v>
      </c>
      <c r="L99" s="5" t="b">
        <v>0</v>
      </c>
      <c r="M99" s="6" t="s">
        <v>66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/>
      <c r="Y99" s="5"/>
      <c r="Z99" s="5"/>
      <c r="AK99" s="5"/>
      <c r="AL99" s="5" t="b">
        <v>0</v>
      </c>
      <c r="AM99" s="6" t="s">
        <v>66</v>
      </c>
      <c r="AN99" s="5">
        <v>0</v>
      </c>
      <c r="AO99" s="5">
        <v>6</v>
      </c>
      <c r="AP99" s="5" t="b">
        <v>1</v>
      </c>
      <c r="AQ99" s="24" t="s">
        <v>109</v>
      </c>
      <c r="AR99" s="5">
        <v>1</v>
      </c>
      <c r="AS99" s="5">
        <v>48</v>
      </c>
      <c r="AT99" s="5" t="b">
        <v>0</v>
      </c>
      <c r="AU99" s="6" t="s">
        <v>66</v>
      </c>
      <c r="AV99" s="5">
        <v>0</v>
      </c>
      <c r="AW99" s="5">
        <v>6</v>
      </c>
      <c r="AX99" s="5" t="b">
        <v>0</v>
      </c>
      <c r="AY99" s="6" t="s">
        <v>66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J99" s="70"/>
      <c r="BM99" s="5" t="b">
        <v>0</v>
      </c>
      <c r="CO99" s="64" t="str">
        <f t="shared" si="8"/>
        <v>.EMAILEML</v>
      </c>
    </row>
    <row r="100" spans="1:93" x14ac:dyDescent="0.25">
      <c r="A100" s="71" t="str">
        <f t="shared" si="5"/>
        <v>SIDEBAR (SBR)</v>
      </c>
      <c r="C100" s="8" t="s">
        <v>549</v>
      </c>
      <c r="D100" s="8" t="s">
        <v>550</v>
      </c>
      <c r="F100" s="5">
        <v>97</v>
      </c>
      <c r="H100" s="8">
        <v>3</v>
      </c>
      <c r="I100" s="5"/>
      <c r="J100" s="8">
        <v>12</v>
      </c>
      <c r="K100" s="8" t="b">
        <v>0</v>
      </c>
      <c r="L100" s="5" t="b">
        <v>0</v>
      </c>
      <c r="M100" s="6" t="s">
        <v>66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/>
      <c r="Y100" s="5"/>
      <c r="Z100" s="5"/>
      <c r="AK100" s="5"/>
      <c r="AL100" s="5" t="b">
        <v>0</v>
      </c>
      <c r="AM100" s="6" t="s">
        <v>66</v>
      </c>
      <c r="AN100" s="5">
        <v>0</v>
      </c>
      <c r="AO100" s="5">
        <v>6</v>
      </c>
      <c r="AP100" s="5" t="b">
        <v>1</v>
      </c>
      <c r="AQ100" s="34" t="s">
        <v>84</v>
      </c>
      <c r="AR100" s="5">
        <v>1</v>
      </c>
      <c r="AS100" s="5">
        <v>48</v>
      </c>
      <c r="AT100" s="5" t="b">
        <v>0</v>
      </c>
      <c r="AU100" s="6" t="s">
        <v>66</v>
      </c>
      <c r="AV100" s="5">
        <v>0</v>
      </c>
      <c r="AW100" s="5">
        <v>6</v>
      </c>
      <c r="AX100" s="5" t="b">
        <v>0</v>
      </c>
      <c r="AY100" s="6" t="s">
        <v>66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J100" s="70"/>
      <c r="BM100" s="5" t="b">
        <v>0</v>
      </c>
      <c r="CO100" s="64" t="str">
        <f t="shared" si="8"/>
        <v>.SIDEBARSBR</v>
      </c>
    </row>
    <row r="101" spans="1:93" x14ac:dyDescent="0.25">
      <c r="A101" s="71" t="str">
        <f t="shared" si="5"/>
        <v>PULL-QUOTE (PQ)</v>
      </c>
      <c r="C101" s="8" t="s">
        <v>551</v>
      </c>
      <c r="D101" s="8" t="s">
        <v>552</v>
      </c>
      <c r="F101" s="5">
        <v>98</v>
      </c>
      <c r="H101" s="8">
        <v>3</v>
      </c>
      <c r="I101" s="5"/>
      <c r="J101" s="8">
        <v>12</v>
      </c>
      <c r="K101" s="8" t="b">
        <v>0</v>
      </c>
      <c r="L101" s="5" t="b">
        <v>0</v>
      </c>
      <c r="M101" s="6" t="s">
        <v>66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/>
      <c r="Y101" s="5"/>
      <c r="Z101" s="5"/>
      <c r="AK101" s="5"/>
      <c r="AL101" s="5" t="b">
        <v>0</v>
      </c>
      <c r="AM101" s="6" t="s">
        <v>66</v>
      </c>
      <c r="AN101" s="5">
        <v>0</v>
      </c>
      <c r="AO101" s="5">
        <v>6</v>
      </c>
      <c r="AP101" s="5" t="b">
        <v>1</v>
      </c>
      <c r="AQ101" s="20" t="s">
        <v>78</v>
      </c>
      <c r="AR101" s="5">
        <v>1</v>
      </c>
      <c r="AS101" s="5">
        <v>48</v>
      </c>
      <c r="AT101" s="5" t="b">
        <v>0</v>
      </c>
      <c r="AU101" s="6" t="s">
        <v>66</v>
      </c>
      <c r="AV101" s="5">
        <v>0</v>
      </c>
      <c r="AW101" s="5">
        <v>6</v>
      </c>
      <c r="AX101" s="5" t="b">
        <v>0</v>
      </c>
      <c r="AY101" s="6" t="s">
        <v>66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J101" s="70"/>
      <c r="BM101" s="5" t="b">
        <v>0</v>
      </c>
      <c r="CO101" s="64" t="str">
        <f t="shared" si="8"/>
        <v>.PULL-QUOTEPQ</v>
      </c>
    </row>
    <row r="102" spans="1:93" x14ac:dyDescent="0.25">
      <c r="A102" s="71" t="str">
        <f t="shared" si="5"/>
        <v>GENERAL-FLOATING-CONTAINER (GFC)</v>
      </c>
      <c r="C102" s="8" t="s">
        <v>553</v>
      </c>
      <c r="D102" s="8" t="s">
        <v>554</v>
      </c>
      <c r="F102" s="5">
        <v>99</v>
      </c>
      <c r="H102" s="8">
        <v>3</v>
      </c>
      <c r="I102" s="5"/>
      <c r="J102" s="8">
        <v>12</v>
      </c>
      <c r="K102" s="8" t="b">
        <v>0</v>
      </c>
      <c r="L102" s="5" t="b">
        <v>0</v>
      </c>
      <c r="M102" s="6" t="s">
        <v>66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/>
      <c r="Y102" s="5"/>
      <c r="Z102" s="5"/>
      <c r="AK102" s="5"/>
      <c r="AL102" s="5" t="b">
        <v>0</v>
      </c>
      <c r="AM102" s="6" t="s">
        <v>66</v>
      </c>
      <c r="AN102" s="5">
        <v>0</v>
      </c>
      <c r="AO102" s="5">
        <v>6</v>
      </c>
      <c r="AP102" s="5" t="b">
        <v>1</v>
      </c>
      <c r="AQ102" s="23" t="s">
        <v>80</v>
      </c>
      <c r="AR102" s="5">
        <v>1</v>
      </c>
      <c r="AS102" s="5">
        <v>48</v>
      </c>
      <c r="AT102" s="5" t="b">
        <v>0</v>
      </c>
      <c r="AU102" s="6" t="s">
        <v>66</v>
      </c>
      <c r="AV102" s="5">
        <v>0</v>
      </c>
      <c r="AW102" s="5">
        <v>6</v>
      </c>
      <c r="AX102" s="5" t="b">
        <v>0</v>
      </c>
      <c r="AY102" s="6" t="s">
        <v>66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J102" s="70"/>
      <c r="BM102" s="5" t="b">
        <v>0</v>
      </c>
      <c r="CO102" s="64" t="str">
        <f t="shared" si="8"/>
        <v>.GENERAL-FLOATING-CONTAINERGFC</v>
      </c>
    </row>
    <row r="103" spans="1:93" x14ac:dyDescent="0.25">
      <c r="A103" s="71" t="str">
        <f t="shared" si="5"/>
        <v>bold (b)</v>
      </c>
      <c r="C103" s="8" t="s">
        <v>555</v>
      </c>
      <c r="D103" s="8" t="s">
        <v>556</v>
      </c>
      <c r="E103" s="71" t="str">
        <f t="shared" ref="E103:E122" si="9">IF($D103="","",TRIM($C103)&amp;" "&amp;CHAR(40)&amp;TRIM($D103)&amp;CHAR(41))</f>
        <v>bold (b)</v>
      </c>
      <c r="F103" s="5">
        <v>99</v>
      </c>
      <c r="G103" s="8" t="b">
        <v>0</v>
      </c>
      <c r="H103" s="5">
        <v>2</v>
      </c>
      <c r="I103" s="5" t="s">
        <v>69</v>
      </c>
      <c r="J103" s="8">
        <v>12</v>
      </c>
      <c r="K103" s="8" t="b">
        <v>0</v>
      </c>
      <c r="L103" s="5" t="b">
        <v>1</v>
      </c>
      <c r="M103" s="6" t="s">
        <v>66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/>
      <c r="Y103" s="5"/>
      <c r="Z103" s="5"/>
      <c r="BG103" s="6" t="s">
        <v>66</v>
      </c>
      <c r="BH103" s="5">
        <v>0</v>
      </c>
      <c r="BI103" s="5">
        <v>0</v>
      </c>
      <c r="BJ103" s="38" t="s">
        <v>120</v>
      </c>
      <c r="BK103" s="5" t="s">
        <v>74</v>
      </c>
      <c r="BL103" s="5"/>
      <c r="BM103" s="5" t="b">
        <v>0</v>
      </c>
      <c r="CO103" s="64" t="str">
        <f t="shared" si="8"/>
        <v>.boldb</v>
      </c>
    </row>
    <row r="104" spans="1:93" x14ac:dyDescent="0.25">
      <c r="A104" s="71" t="str">
        <f t="shared" si="5"/>
        <v>ital (i)</v>
      </c>
      <c r="C104" s="8" t="s">
        <v>250</v>
      </c>
      <c r="D104" s="8" t="s">
        <v>557</v>
      </c>
      <c r="E104" s="71" t="str">
        <f t="shared" si="9"/>
        <v>ital (i)</v>
      </c>
      <c r="F104" s="5">
        <v>99</v>
      </c>
      <c r="G104" s="8" t="b">
        <v>0</v>
      </c>
      <c r="H104" s="5">
        <v>2</v>
      </c>
      <c r="I104" s="5" t="s">
        <v>69</v>
      </c>
      <c r="J104" s="8">
        <v>12</v>
      </c>
      <c r="K104" s="8" t="b">
        <v>1</v>
      </c>
      <c r="L104" s="5" t="b">
        <v>0</v>
      </c>
      <c r="M104" s="6" t="s">
        <v>66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/>
      <c r="Y104" s="5"/>
      <c r="Z104" s="5"/>
      <c r="BG104" s="6" t="s">
        <v>66</v>
      </c>
      <c r="BH104" s="5">
        <v>0</v>
      </c>
      <c r="BI104" s="5">
        <v>0</v>
      </c>
      <c r="BJ104" s="38" t="s">
        <v>120</v>
      </c>
      <c r="BK104" s="5" t="s">
        <v>74</v>
      </c>
      <c r="BL104" s="5"/>
      <c r="BM104" s="5" t="b">
        <v>0</v>
      </c>
      <c r="CO104" s="64" t="str">
        <f t="shared" si="8"/>
        <v>.itali</v>
      </c>
    </row>
    <row r="105" spans="1:93" x14ac:dyDescent="0.25">
      <c r="A105" s="71" t="str">
        <f t="shared" si="5"/>
        <v>underline (u)</v>
      </c>
      <c r="C105" s="8" t="s">
        <v>558</v>
      </c>
      <c r="D105" s="8" t="s">
        <v>559</v>
      </c>
      <c r="E105" s="71" t="str">
        <f t="shared" si="9"/>
        <v>underline (u)</v>
      </c>
      <c r="F105" s="5">
        <v>99</v>
      </c>
      <c r="G105" s="8" t="b">
        <v>0</v>
      </c>
      <c r="H105" s="5">
        <v>2</v>
      </c>
      <c r="I105" s="5" t="s">
        <v>69</v>
      </c>
      <c r="J105" s="8">
        <v>12</v>
      </c>
      <c r="K105" s="5" t="b">
        <v>0</v>
      </c>
      <c r="L105" s="5" t="b">
        <v>0</v>
      </c>
      <c r="M105" s="6" t="s">
        <v>66</v>
      </c>
      <c r="N105" s="5" t="b">
        <v>1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/>
      <c r="Y105" s="5"/>
      <c r="Z105" s="5"/>
      <c r="BG105" s="6" t="s">
        <v>66</v>
      </c>
      <c r="BH105" s="5">
        <v>0</v>
      </c>
      <c r="BI105" s="5">
        <v>0</v>
      </c>
      <c r="BJ105" s="38" t="s">
        <v>120</v>
      </c>
      <c r="BK105" s="5" t="s">
        <v>74</v>
      </c>
      <c r="BL105" s="5"/>
      <c r="BM105" s="5" t="b">
        <v>0</v>
      </c>
      <c r="CO105" s="64" t="str">
        <f t="shared" si="8"/>
        <v>.underlineu</v>
      </c>
    </row>
    <row r="106" spans="1:93" x14ac:dyDescent="0.25">
      <c r="A106" s="71" t="str">
        <f t="shared" si="5"/>
        <v>smallcaps (c)</v>
      </c>
      <c r="C106" s="8" t="s">
        <v>560</v>
      </c>
      <c r="D106" s="8" t="s">
        <v>561</v>
      </c>
      <c r="E106" s="71" t="str">
        <f t="shared" si="9"/>
        <v>smallcaps (c)</v>
      </c>
      <c r="F106" s="5">
        <v>99</v>
      </c>
      <c r="G106" s="8" t="b">
        <v>0</v>
      </c>
      <c r="H106" s="5">
        <v>2</v>
      </c>
      <c r="I106" s="5" t="s">
        <v>69</v>
      </c>
      <c r="J106" s="8">
        <v>12</v>
      </c>
      <c r="K106" s="5" t="b">
        <v>0</v>
      </c>
      <c r="L106" s="5" t="b">
        <v>0</v>
      </c>
      <c r="M106" s="6" t="s">
        <v>66</v>
      </c>
      <c r="N106" s="5" t="b">
        <v>0</v>
      </c>
      <c r="O106" s="5" t="b">
        <v>1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/>
      <c r="Y106" s="5"/>
      <c r="Z106" s="5"/>
      <c r="BG106" s="6" t="s">
        <v>66</v>
      </c>
      <c r="BH106" s="5">
        <v>0</v>
      </c>
      <c r="BI106" s="5">
        <v>0</v>
      </c>
      <c r="BJ106" s="38" t="s">
        <v>120</v>
      </c>
      <c r="BK106" s="5" t="s">
        <v>74</v>
      </c>
      <c r="BL106" s="5"/>
      <c r="BM106" s="5" t="b">
        <v>0</v>
      </c>
      <c r="CO106" s="64" t="str">
        <f t="shared" si="8"/>
        <v>.smallcapsc</v>
      </c>
    </row>
    <row r="107" spans="1:93" x14ac:dyDescent="0.25">
      <c r="A107" s="71" t="str">
        <f t="shared" si="5"/>
        <v>super (p)</v>
      </c>
      <c r="C107" s="8" t="s">
        <v>562</v>
      </c>
      <c r="D107" s="8" t="s">
        <v>563</v>
      </c>
      <c r="E107" s="71" t="str">
        <f t="shared" si="9"/>
        <v>super (p)</v>
      </c>
      <c r="F107" s="5">
        <v>99</v>
      </c>
      <c r="G107" s="8" t="b">
        <v>0</v>
      </c>
      <c r="H107" s="5">
        <v>2</v>
      </c>
      <c r="I107" s="5" t="s">
        <v>69</v>
      </c>
      <c r="J107" s="8">
        <v>12</v>
      </c>
      <c r="K107" s="5" t="b">
        <v>0</v>
      </c>
      <c r="L107" s="5" t="b">
        <v>0</v>
      </c>
      <c r="M107" s="6" t="s">
        <v>66</v>
      </c>
      <c r="N107" s="5" t="b">
        <v>0</v>
      </c>
      <c r="O107" s="5" t="b">
        <v>0</v>
      </c>
      <c r="P107" s="5" t="b">
        <v>1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/>
      <c r="Y107" s="5"/>
      <c r="Z107" s="5"/>
      <c r="BG107" s="6" t="s">
        <v>66</v>
      </c>
      <c r="BH107" s="5">
        <v>0</v>
      </c>
      <c r="BI107" s="5">
        <v>0</v>
      </c>
      <c r="BJ107" s="38" t="s">
        <v>120</v>
      </c>
      <c r="BK107" s="5" t="s">
        <v>74</v>
      </c>
      <c r="BL107" s="5"/>
      <c r="BM107" s="5" t="b">
        <v>0</v>
      </c>
      <c r="CO107" s="64" t="str">
        <f t="shared" si="8"/>
        <v>.superp</v>
      </c>
    </row>
    <row r="108" spans="1:93" x14ac:dyDescent="0.25">
      <c r="A108" s="71" t="str">
        <f t="shared" si="5"/>
        <v>sub (s)</v>
      </c>
      <c r="C108" s="8" t="s">
        <v>251</v>
      </c>
      <c r="D108" s="8" t="s">
        <v>247</v>
      </c>
      <c r="E108" s="71" t="str">
        <f t="shared" si="9"/>
        <v>sub (s)</v>
      </c>
      <c r="F108" s="5">
        <v>99</v>
      </c>
      <c r="G108" s="8" t="b">
        <v>0</v>
      </c>
      <c r="H108" s="5">
        <v>2</v>
      </c>
      <c r="I108" s="5" t="s">
        <v>69</v>
      </c>
      <c r="J108" s="8">
        <v>12</v>
      </c>
      <c r="K108" s="5" t="b">
        <v>0</v>
      </c>
      <c r="L108" s="5" t="b">
        <v>0</v>
      </c>
      <c r="M108" s="6" t="s">
        <v>66</v>
      </c>
      <c r="N108" s="5" t="b">
        <v>0</v>
      </c>
      <c r="O108" s="5" t="b">
        <v>0</v>
      </c>
      <c r="P108" s="5" t="b">
        <v>0</v>
      </c>
      <c r="Q108" s="5" t="b">
        <v>1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/>
      <c r="Y108" s="5"/>
      <c r="Z108" s="5"/>
      <c r="BG108" s="6" t="s">
        <v>66</v>
      </c>
      <c r="BH108" s="5">
        <v>0</v>
      </c>
      <c r="BI108" s="5">
        <v>0</v>
      </c>
      <c r="BJ108" s="38" t="s">
        <v>120</v>
      </c>
      <c r="BK108" s="5" t="s">
        <v>74</v>
      </c>
      <c r="BL108" s="5"/>
      <c r="BM108" s="5" t="b">
        <v>0</v>
      </c>
      <c r="CO108" s="64" t="str">
        <f t="shared" si="8"/>
        <v>.subs</v>
      </c>
    </row>
    <row r="109" spans="1:93" x14ac:dyDescent="0.25">
      <c r="A109" s="71" t="str">
        <f t="shared" si="5"/>
        <v>strike (t)</v>
      </c>
      <c r="C109" s="8" t="s">
        <v>564</v>
      </c>
      <c r="D109" s="8" t="s">
        <v>565</v>
      </c>
      <c r="E109" s="71" t="str">
        <f t="shared" si="9"/>
        <v>strike (t)</v>
      </c>
      <c r="F109" s="5">
        <v>99</v>
      </c>
      <c r="G109" s="8" t="b">
        <v>0</v>
      </c>
      <c r="H109" s="5">
        <v>2</v>
      </c>
      <c r="I109" s="5" t="s">
        <v>69</v>
      </c>
      <c r="J109" s="8">
        <v>12</v>
      </c>
      <c r="K109" s="5" t="b">
        <v>0</v>
      </c>
      <c r="L109" s="5" t="b">
        <v>0</v>
      </c>
      <c r="M109" s="6" t="s">
        <v>66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1</v>
      </c>
      <c r="S109" s="5" t="b">
        <v>0</v>
      </c>
      <c r="T109" s="5" t="b">
        <v>0</v>
      </c>
      <c r="U109" s="5" t="b">
        <v>0</v>
      </c>
      <c r="V109" s="5" t="b">
        <v>0</v>
      </c>
      <c r="X109" s="5"/>
      <c r="Y109" s="5"/>
      <c r="Z109" s="5"/>
      <c r="BG109" s="6" t="s">
        <v>66</v>
      </c>
      <c r="BH109" s="5">
        <v>0</v>
      </c>
      <c r="BI109" s="5">
        <v>0</v>
      </c>
      <c r="BJ109" s="38" t="s">
        <v>120</v>
      </c>
      <c r="BK109" s="5" t="s">
        <v>74</v>
      </c>
      <c r="BL109" s="5"/>
      <c r="BM109" s="5" t="b">
        <v>0</v>
      </c>
      <c r="CO109" s="64" t="str">
        <f t="shared" si="8"/>
        <v>.striket</v>
      </c>
    </row>
    <row r="110" spans="1:93" x14ac:dyDescent="0.25">
      <c r="A110" s="71" t="str">
        <f t="shared" si="5"/>
        <v>inline-a (in-a)</v>
      </c>
      <c r="C110" s="8" t="s">
        <v>566</v>
      </c>
      <c r="D110" s="8" t="s">
        <v>567</v>
      </c>
      <c r="E110" s="71" t="str">
        <f t="shared" si="9"/>
        <v>inline-a (in-a)</v>
      </c>
      <c r="F110" s="5">
        <v>99</v>
      </c>
      <c r="G110" s="8" t="b">
        <v>0</v>
      </c>
      <c r="H110" s="5">
        <v>2</v>
      </c>
      <c r="I110" s="5" t="s">
        <v>69</v>
      </c>
      <c r="J110" s="8">
        <v>12</v>
      </c>
      <c r="K110" s="5" t="b">
        <v>0</v>
      </c>
      <c r="L110" s="5" t="b">
        <v>0</v>
      </c>
      <c r="M110" s="6" t="s">
        <v>66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/>
      <c r="Y110" s="5"/>
      <c r="Z110" s="5"/>
      <c r="BG110" s="6" t="s">
        <v>66</v>
      </c>
      <c r="BH110" s="5">
        <v>0</v>
      </c>
      <c r="BI110" s="5">
        <v>0</v>
      </c>
      <c r="BJ110" s="37" t="s">
        <v>121</v>
      </c>
      <c r="BK110" s="5" t="s">
        <v>74</v>
      </c>
      <c r="BL110" s="5"/>
      <c r="BM110" s="5" t="b">
        <v>0</v>
      </c>
      <c r="CO110" s="64" t="str">
        <f t="shared" si="8"/>
        <v>.inline-ain-a</v>
      </c>
    </row>
    <row r="111" spans="1:93" x14ac:dyDescent="0.25">
      <c r="A111" s="71" t="str">
        <f t="shared" si="5"/>
        <v>cs-head (csh)</v>
      </c>
      <c r="C111" s="8" t="s">
        <v>568</v>
      </c>
      <c r="D111" s="8" t="s">
        <v>569</v>
      </c>
      <c r="E111" s="71" t="str">
        <f t="shared" si="9"/>
        <v>cs-head (csh)</v>
      </c>
      <c r="F111" s="5">
        <v>99</v>
      </c>
      <c r="G111" s="8" t="b">
        <v>0</v>
      </c>
      <c r="H111" s="5">
        <v>2</v>
      </c>
      <c r="I111" s="5" t="s">
        <v>2</v>
      </c>
      <c r="J111" s="8">
        <v>12</v>
      </c>
      <c r="K111" s="5" t="b">
        <v>0</v>
      </c>
      <c r="L111" s="5" t="b">
        <v>0</v>
      </c>
      <c r="M111" s="6" t="s">
        <v>66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/>
      <c r="Y111" s="5"/>
      <c r="Z111" s="5"/>
      <c r="BG111" s="6" t="s">
        <v>66</v>
      </c>
      <c r="BH111" s="5">
        <v>0</v>
      </c>
      <c r="BI111" s="5">
        <v>0</v>
      </c>
      <c r="BJ111" s="37" t="s">
        <v>121</v>
      </c>
      <c r="BK111" s="5" t="s">
        <v>74</v>
      </c>
      <c r="BL111" s="5"/>
      <c r="BM111" s="5" t="b">
        <v>0</v>
      </c>
      <c r="CO111" s="64" t="str">
        <f t="shared" si="8"/>
        <v>.cs-headcsh</v>
      </c>
    </row>
    <row r="112" spans="1:93" x14ac:dyDescent="0.25">
      <c r="A112" s="71" t="str">
        <f t="shared" si="5"/>
        <v>cs-speaker (csp)</v>
      </c>
      <c r="C112" s="8" t="s">
        <v>570</v>
      </c>
      <c r="D112" s="8" t="s">
        <v>571</v>
      </c>
      <c r="E112" s="71" t="str">
        <f t="shared" si="9"/>
        <v>cs-speaker (csp)</v>
      </c>
      <c r="F112" s="5">
        <v>99</v>
      </c>
      <c r="G112" s="8" t="b">
        <v>0</v>
      </c>
      <c r="H112" s="5">
        <v>2</v>
      </c>
      <c r="I112" s="5" t="s">
        <v>2</v>
      </c>
      <c r="J112" s="8">
        <v>12</v>
      </c>
      <c r="K112" s="5" t="b">
        <v>0</v>
      </c>
      <c r="L112" s="5" t="b">
        <v>0</v>
      </c>
      <c r="M112" s="6" t="s">
        <v>66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/>
      <c r="Y112" s="5"/>
      <c r="Z112" s="5"/>
      <c r="BG112" s="6" t="s">
        <v>66</v>
      </c>
      <c r="BH112" s="5">
        <v>0</v>
      </c>
      <c r="BI112" s="5">
        <v>0</v>
      </c>
      <c r="BJ112" s="37" t="s">
        <v>121</v>
      </c>
      <c r="BK112" s="5" t="s">
        <v>74</v>
      </c>
      <c r="BL112" s="5"/>
      <c r="BM112" s="5" t="b">
        <v>0</v>
      </c>
      <c r="CO112" s="64" t="str">
        <f t="shared" si="8"/>
        <v>.cs-speakercsp</v>
      </c>
    </row>
    <row r="113" spans="1:93" x14ac:dyDescent="0.25">
      <c r="A113" s="71" t="str">
        <f t="shared" si="5"/>
        <v>cs-text-message (ctm)</v>
      </c>
      <c r="C113" s="8" t="s">
        <v>572</v>
      </c>
      <c r="D113" s="8" t="s">
        <v>573</v>
      </c>
      <c r="E113" s="71" t="str">
        <f t="shared" si="9"/>
        <v>cs-text-message (ctm)</v>
      </c>
      <c r="F113" s="5">
        <v>99</v>
      </c>
      <c r="G113" s="8" t="b">
        <v>0</v>
      </c>
      <c r="H113" s="5">
        <v>2</v>
      </c>
      <c r="I113" s="5" t="s">
        <v>79</v>
      </c>
      <c r="J113" s="8">
        <v>12</v>
      </c>
      <c r="K113" s="5" t="b">
        <v>0</v>
      </c>
      <c r="L113" s="5" t="b">
        <v>0</v>
      </c>
      <c r="M113" s="6" t="s">
        <v>66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/>
      <c r="Y113" s="5"/>
      <c r="Z113" s="5"/>
      <c r="BG113" s="6" t="s">
        <v>66</v>
      </c>
      <c r="BH113" s="5">
        <v>0</v>
      </c>
      <c r="BI113" s="5">
        <v>0</v>
      </c>
      <c r="BJ113" s="37" t="s">
        <v>121</v>
      </c>
      <c r="BK113" s="5" t="s">
        <v>74</v>
      </c>
      <c r="BL113" s="5"/>
      <c r="BM113" s="5" t="b">
        <v>0</v>
      </c>
      <c r="CO113" s="64" t="str">
        <f t="shared" si="8"/>
        <v>.cs-text-messagectm</v>
      </c>
    </row>
    <row r="114" spans="1:93" x14ac:dyDescent="0.25">
      <c r="A114" s="71" t="str">
        <f t="shared" si="5"/>
        <v>cs-design-note (cdn)</v>
      </c>
      <c r="C114" s="8" t="s">
        <v>574</v>
      </c>
      <c r="D114" s="8" t="s">
        <v>575</v>
      </c>
      <c r="E114" s="71" t="str">
        <f t="shared" si="9"/>
        <v>cs-design-note (cdn)</v>
      </c>
      <c r="F114" s="5">
        <v>99</v>
      </c>
      <c r="G114" s="8" t="b">
        <v>0</v>
      </c>
      <c r="H114" s="5">
        <v>2</v>
      </c>
      <c r="I114" s="5" t="s">
        <v>1</v>
      </c>
      <c r="J114" s="8">
        <v>12</v>
      </c>
      <c r="K114" s="5" t="b">
        <v>0</v>
      </c>
      <c r="L114" s="5" t="b">
        <v>0</v>
      </c>
      <c r="M114" s="6" t="s">
        <v>66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/>
      <c r="Y114" s="5"/>
      <c r="Z114" s="5"/>
      <c r="BG114" s="6" t="s">
        <v>66</v>
      </c>
      <c r="BH114" s="5">
        <v>0</v>
      </c>
      <c r="BI114" s="5">
        <v>0</v>
      </c>
      <c r="BJ114" s="16" t="s">
        <v>75</v>
      </c>
      <c r="BK114" s="5" t="s">
        <v>74</v>
      </c>
      <c r="BL114" s="5"/>
      <c r="BM114" s="5" t="b">
        <v>0</v>
      </c>
      <c r="CO114" s="64" t="str">
        <f t="shared" si="8"/>
        <v>.cs-design-notecdn</v>
      </c>
    </row>
    <row r="115" spans="1:93" x14ac:dyDescent="0.25">
      <c r="A115" s="71" t="str">
        <f t="shared" si="5"/>
        <v>cs-image-placement (cip)</v>
      </c>
      <c r="C115" s="8" t="s">
        <v>576</v>
      </c>
      <c r="D115" s="8" t="s">
        <v>577</v>
      </c>
      <c r="E115" s="71" t="str">
        <f t="shared" si="9"/>
        <v>cs-image-placement (cip)</v>
      </c>
      <c r="F115" s="5">
        <v>99</v>
      </c>
      <c r="G115" s="8" t="b">
        <v>0</v>
      </c>
      <c r="H115" s="5">
        <v>2</v>
      </c>
      <c r="I115" s="5" t="s">
        <v>1</v>
      </c>
      <c r="J115" s="8">
        <v>12</v>
      </c>
      <c r="K115" s="5" t="b">
        <v>0</v>
      </c>
      <c r="L115" s="5" t="b">
        <v>0</v>
      </c>
      <c r="M115" s="6" t="s">
        <v>66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/>
      <c r="Y115" s="5"/>
      <c r="Z115" s="5"/>
      <c r="BG115" s="6" t="s">
        <v>66</v>
      </c>
      <c r="BH115" s="5">
        <v>0</v>
      </c>
      <c r="BI115" s="5">
        <v>0</v>
      </c>
      <c r="BJ115" s="7" t="s">
        <v>67</v>
      </c>
      <c r="BK115" s="5" t="s">
        <v>74</v>
      </c>
      <c r="BL115" s="5"/>
      <c r="BM115" s="5" t="b">
        <v>0</v>
      </c>
      <c r="CO115" s="64" t="str">
        <f t="shared" si="8"/>
        <v>.cs-image-placementcip</v>
      </c>
    </row>
    <row r="116" spans="1:93" x14ac:dyDescent="0.25">
      <c r="A116" s="71" t="str">
        <f t="shared" si="5"/>
        <v>hyperlink (url)</v>
      </c>
      <c r="C116" s="8" t="s">
        <v>578</v>
      </c>
      <c r="D116" s="8" t="s">
        <v>249</v>
      </c>
      <c r="E116" s="71" t="str">
        <f t="shared" si="9"/>
        <v>hyperlink (url)</v>
      </c>
      <c r="F116" s="5">
        <v>99</v>
      </c>
      <c r="G116" s="8" t="b">
        <v>0</v>
      </c>
      <c r="H116" s="5">
        <v>2</v>
      </c>
      <c r="I116" s="5" t="s">
        <v>69</v>
      </c>
      <c r="J116" s="8">
        <v>12</v>
      </c>
      <c r="K116" s="5" t="b">
        <v>0</v>
      </c>
      <c r="L116" s="5" t="b">
        <v>0</v>
      </c>
      <c r="M116" s="6" t="s">
        <v>66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/>
      <c r="Y116" s="5"/>
      <c r="Z116" s="5"/>
      <c r="BG116" s="6" t="s">
        <v>66</v>
      </c>
      <c r="BH116" s="5">
        <v>0</v>
      </c>
      <c r="BI116" s="5">
        <v>0</v>
      </c>
      <c r="BJ116" s="39" t="s">
        <v>119</v>
      </c>
      <c r="BK116" s="5" t="s">
        <v>74</v>
      </c>
      <c r="BL116" s="5"/>
      <c r="BM116" s="5" t="b">
        <v>0</v>
      </c>
      <c r="CO116" s="64" t="str">
        <f t="shared" si="8"/>
        <v>.hyperlinkurl</v>
      </c>
    </row>
    <row r="117" spans="1:93" x14ac:dyDescent="0.25">
      <c r="A117" s="71" t="str">
        <f t="shared" si="5"/>
        <v>special-characters (sym)</v>
      </c>
      <c r="C117" s="8" t="s">
        <v>579</v>
      </c>
      <c r="D117" s="8" t="s">
        <v>252</v>
      </c>
      <c r="E117" s="71" t="str">
        <f t="shared" si="9"/>
        <v>special-characters (sym)</v>
      </c>
      <c r="F117" s="5">
        <v>99</v>
      </c>
      <c r="G117" s="8" t="b">
        <v>0</v>
      </c>
      <c r="H117" s="5">
        <v>2</v>
      </c>
      <c r="I117" s="5" t="s">
        <v>69</v>
      </c>
      <c r="J117" s="8">
        <v>12</v>
      </c>
      <c r="K117" s="5" t="b">
        <v>0</v>
      </c>
      <c r="L117" s="5" t="b">
        <v>0</v>
      </c>
      <c r="M117" s="6" t="s">
        <v>66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/>
      <c r="Y117" s="5"/>
      <c r="Z117" s="5"/>
      <c r="BG117" s="6" t="s">
        <v>66</v>
      </c>
      <c r="BH117" s="5">
        <v>0</v>
      </c>
      <c r="BI117" s="5">
        <v>0</v>
      </c>
      <c r="BJ117" s="36" t="s">
        <v>122</v>
      </c>
      <c r="BK117" s="5" t="s">
        <v>74</v>
      </c>
      <c r="BL117" s="5"/>
      <c r="BM117" s="5" t="b">
        <v>0</v>
      </c>
      <c r="CO117" s="64" t="str">
        <f t="shared" si="8"/>
        <v>.special-characterssym</v>
      </c>
    </row>
    <row r="118" spans="1:93" x14ac:dyDescent="0.25">
      <c r="A118" s="71" t="str">
        <f t="shared" si="5"/>
        <v>cross-reference (xref)</v>
      </c>
      <c r="C118" s="8" t="s">
        <v>580</v>
      </c>
      <c r="D118" s="8" t="s">
        <v>248</v>
      </c>
      <c r="E118" s="71" t="str">
        <f t="shared" si="9"/>
        <v>cross-reference (xref)</v>
      </c>
      <c r="F118" s="5">
        <v>99</v>
      </c>
      <c r="G118" s="8" t="b">
        <v>0</v>
      </c>
      <c r="H118" s="5">
        <v>2</v>
      </c>
      <c r="I118" s="5" t="s">
        <v>69</v>
      </c>
      <c r="J118" s="8">
        <v>12</v>
      </c>
      <c r="K118" s="5" t="b">
        <v>0</v>
      </c>
      <c r="L118" s="5" t="b">
        <v>0</v>
      </c>
      <c r="M118" s="6" t="s">
        <v>66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/>
      <c r="Y118" s="5"/>
      <c r="Z118" s="5"/>
      <c r="BG118" s="6" t="s">
        <v>66</v>
      </c>
      <c r="BH118" s="5">
        <v>0</v>
      </c>
      <c r="BI118" s="5">
        <v>0</v>
      </c>
      <c r="BJ118" s="36" t="s">
        <v>122</v>
      </c>
      <c r="BK118" s="5" t="s">
        <v>74</v>
      </c>
      <c r="BL118" s="5"/>
      <c r="BM118" s="5" t="b">
        <v>0</v>
      </c>
      <c r="CO118" s="64" t="str">
        <f t="shared" si="8"/>
        <v>.cross-referencexref</v>
      </c>
    </row>
    <row r="119" spans="1:93" x14ac:dyDescent="0.25">
      <c r="A119" s="71" t="str">
        <f t="shared" si="5"/>
        <v>cs-cleanup-exclude (cex)</v>
      </c>
      <c r="C119" s="8" t="s">
        <v>581</v>
      </c>
      <c r="D119" s="8" t="s">
        <v>582</v>
      </c>
      <c r="E119" s="71" t="str">
        <f t="shared" si="9"/>
        <v>cs-cleanup-exclude (cex)</v>
      </c>
      <c r="F119" s="5">
        <v>99</v>
      </c>
      <c r="G119" s="8" t="b">
        <v>0</v>
      </c>
      <c r="H119" s="5">
        <v>2</v>
      </c>
      <c r="I119" s="5" t="s">
        <v>69</v>
      </c>
      <c r="J119" s="8">
        <v>12</v>
      </c>
      <c r="K119" s="5" t="b">
        <v>0</v>
      </c>
      <c r="L119" s="5" t="b">
        <v>0</v>
      </c>
      <c r="M119" s="6" t="s">
        <v>66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/>
      <c r="Y119" s="5"/>
      <c r="Z119" s="5"/>
      <c r="BG119" s="6" t="s">
        <v>66</v>
      </c>
      <c r="BH119" s="5">
        <v>0</v>
      </c>
      <c r="BI119" s="5">
        <v>0</v>
      </c>
      <c r="BJ119" s="14" t="s">
        <v>123</v>
      </c>
      <c r="BK119" s="5" t="s">
        <v>74</v>
      </c>
      <c r="BL119" s="5"/>
      <c r="BM119" s="5" t="b">
        <v>0</v>
      </c>
      <c r="CO119" s="64" t="str">
        <f t="shared" si="8"/>
        <v>.cs-cleanup-excludecex</v>
      </c>
    </row>
    <row r="120" spans="1:93" x14ac:dyDescent="0.25">
      <c r="A120" s="71" t="str">
        <f t="shared" si="5"/>
        <v>bookmaker-keep-together (bkt)</v>
      </c>
      <c r="C120" s="8" t="s">
        <v>583</v>
      </c>
      <c r="D120" s="8" t="s">
        <v>246</v>
      </c>
      <c r="E120" s="71" t="str">
        <f t="shared" si="9"/>
        <v>bookmaker-keep-together (bkt)</v>
      </c>
      <c r="F120" s="5">
        <v>99</v>
      </c>
      <c r="G120" s="5" t="b">
        <v>0</v>
      </c>
      <c r="H120" s="5">
        <v>2</v>
      </c>
      <c r="I120" s="5" t="s">
        <v>69</v>
      </c>
      <c r="J120" s="8">
        <v>12</v>
      </c>
      <c r="K120" s="5" t="b">
        <v>0</v>
      </c>
      <c r="L120" s="5" t="b">
        <v>0</v>
      </c>
      <c r="M120" s="6" t="s">
        <v>66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J120" s="5"/>
      <c r="AK120" s="5"/>
      <c r="AL120" s="5"/>
      <c r="AM120" s="6"/>
      <c r="AN120" s="5"/>
      <c r="AO120" s="5"/>
      <c r="AP120" s="5"/>
      <c r="AQ120" s="6"/>
      <c r="AR120" s="5"/>
      <c r="AS120" s="5"/>
      <c r="AT120" s="5"/>
      <c r="AU120" s="6"/>
      <c r="AV120" s="5"/>
      <c r="AW120" s="5"/>
      <c r="AX120" s="5"/>
      <c r="AY120" s="6"/>
      <c r="AZ120" s="5"/>
      <c r="BA120" s="5"/>
      <c r="BB120" s="5"/>
      <c r="BC120" s="5"/>
      <c r="BD120" s="5"/>
      <c r="BE120" s="5"/>
      <c r="BF120" s="6"/>
      <c r="BG120" s="6" t="s">
        <v>66</v>
      </c>
      <c r="BH120" s="5">
        <v>0</v>
      </c>
      <c r="BI120" s="5">
        <v>0</v>
      </c>
      <c r="BJ120" s="14" t="s">
        <v>123</v>
      </c>
      <c r="BK120" s="5" t="s">
        <v>74</v>
      </c>
      <c r="BL120" s="5"/>
      <c r="BM120" s="5" t="b">
        <v>0</v>
      </c>
      <c r="CO120" s="57" t="str">
        <f t="shared" si="8"/>
        <v>.bookmaker-keep-togetherbkt</v>
      </c>
    </row>
    <row r="121" spans="1:93" x14ac:dyDescent="0.25">
      <c r="A121" s="71" t="str">
        <f t="shared" si="5"/>
        <v>bookmaker-loosen (bln)</v>
      </c>
      <c r="C121" s="8" t="s">
        <v>586</v>
      </c>
      <c r="D121" s="8" t="s">
        <v>587</v>
      </c>
      <c r="E121" s="71" t="str">
        <f t="shared" si="9"/>
        <v>bookmaker-loosen (bln)</v>
      </c>
      <c r="F121" s="5">
        <v>99</v>
      </c>
      <c r="G121" s="5" t="b">
        <v>0</v>
      </c>
      <c r="H121" s="5">
        <v>2</v>
      </c>
      <c r="I121" s="5" t="s">
        <v>69</v>
      </c>
      <c r="J121" s="8">
        <v>12</v>
      </c>
      <c r="K121" s="5" t="b">
        <v>0</v>
      </c>
      <c r="L121" s="5" t="b">
        <v>0</v>
      </c>
      <c r="M121" s="6" t="s">
        <v>66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J121" s="5"/>
      <c r="AK121" s="5"/>
      <c r="AL121" s="5"/>
      <c r="AM121" s="6"/>
      <c r="AN121" s="5"/>
      <c r="AO121" s="5"/>
      <c r="AP121" s="5"/>
      <c r="AQ121" s="6"/>
      <c r="AR121" s="5"/>
      <c r="AS121" s="5"/>
      <c r="AT121" s="5"/>
      <c r="AU121" s="6"/>
      <c r="AV121" s="5"/>
      <c r="AW121" s="5"/>
      <c r="AX121" s="5"/>
      <c r="AY121" s="6"/>
      <c r="AZ121" s="5"/>
      <c r="BA121" s="5"/>
      <c r="BB121" s="5"/>
      <c r="BC121" s="5"/>
      <c r="BD121" s="5"/>
      <c r="BE121" s="5"/>
      <c r="BF121" s="6"/>
      <c r="BG121" s="6" t="s">
        <v>66</v>
      </c>
      <c r="BH121" s="5">
        <v>0</v>
      </c>
      <c r="BI121" s="5">
        <v>0</v>
      </c>
      <c r="BJ121" s="14" t="s">
        <v>123</v>
      </c>
      <c r="BK121" s="5" t="s">
        <v>74</v>
      </c>
      <c r="BL121" s="5"/>
      <c r="BM121" s="5" t="b">
        <v>0</v>
      </c>
      <c r="CO121" s="57" t="str">
        <f t="shared" si="8"/>
        <v>.bookmaker-loosenbln</v>
      </c>
    </row>
    <row r="122" spans="1:93" x14ac:dyDescent="0.25">
      <c r="A122" s="71" t="str">
        <f t="shared" si="5"/>
        <v>bookmaker-tighten (bti)</v>
      </c>
      <c r="C122" s="59" t="s">
        <v>584</v>
      </c>
      <c r="D122" s="69" t="s">
        <v>585</v>
      </c>
      <c r="E122" s="71" t="str">
        <f t="shared" si="9"/>
        <v>bookmaker-tighten (bti)</v>
      </c>
      <c r="F122" s="5">
        <v>99</v>
      </c>
      <c r="G122" s="5" t="b">
        <v>0</v>
      </c>
      <c r="H122" s="5">
        <v>2</v>
      </c>
      <c r="I122" s="5" t="s">
        <v>69</v>
      </c>
      <c r="J122" s="8">
        <v>12</v>
      </c>
      <c r="K122" s="5" t="b">
        <v>0</v>
      </c>
      <c r="L122" s="5" t="b">
        <v>0</v>
      </c>
      <c r="M122" s="6" t="s">
        <v>66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J122" s="5"/>
      <c r="AK122" s="5"/>
      <c r="AL122" s="5"/>
      <c r="AM122" s="6"/>
      <c r="AN122" s="5"/>
      <c r="AO122" s="5"/>
      <c r="AP122" s="5"/>
      <c r="AQ122" s="6"/>
      <c r="AR122" s="5"/>
      <c r="AS122" s="5"/>
      <c r="AT122" s="5"/>
      <c r="AU122" s="6"/>
      <c r="AV122" s="5"/>
      <c r="AW122" s="5"/>
      <c r="AX122" s="5"/>
      <c r="AY122" s="6"/>
      <c r="AZ122" s="5"/>
      <c r="BA122" s="5"/>
      <c r="BB122" s="5"/>
      <c r="BC122" s="5"/>
      <c r="BD122" s="5"/>
      <c r="BE122" s="5"/>
      <c r="BF122" s="6"/>
      <c r="BG122" s="6" t="s">
        <v>66</v>
      </c>
      <c r="BH122" s="5">
        <v>0</v>
      </c>
      <c r="BI122" s="5">
        <v>0</v>
      </c>
      <c r="BJ122" s="14" t="s">
        <v>123</v>
      </c>
      <c r="BK122" s="5" t="s">
        <v>74</v>
      </c>
      <c r="BL122" s="5"/>
      <c r="BM122" s="5" t="b">
        <v>0</v>
      </c>
      <c r="CO122" s="57" t="str">
        <f t="shared" si="8"/>
        <v>.bookmaker-tightenbti</v>
      </c>
    </row>
    <row r="123" spans="1:93" x14ac:dyDescent="0.25">
      <c r="A123" s="56" t="str">
        <f t="shared" ref="A123:A125" si="10">IF($D123="","",TRIM($C123)&amp;" "&amp;CHAR(40)&amp;TRIM($D123)&amp;CHAR(41))</f>
        <v/>
      </c>
      <c r="CO123" s="57" t="str">
        <f t="shared" ref="CO123:CO125" si="11">SUBSTITUTE(SUBSTITUTE(SUBSTITUTE(SUBSTITUTE(A123, "(",""),")","")," ",""),"#","")</f>
        <v/>
      </c>
    </row>
    <row r="124" spans="1:93" x14ac:dyDescent="0.25">
      <c r="A124" s="56" t="str">
        <f t="shared" si="10"/>
        <v/>
      </c>
      <c r="CO124" s="57" t="str">
        <f t="shared" si="11"/>
        <v/>
      </c>
    </row>
    <row r="125" spans="1:93" x14ac:dyDescent="0.25">
      <c r="A125" s="56" t="str">
        <f t="shared" si="10"/>
        <v/>
      </c>
      <c r="CO125" s="57" t="str">
        <f t="shared" si="11"/>
        <v/>
      </c>
    </row>
    <row r="126" spans="1:93" x14ac:dyDescent="0.25">
      <c r="A126" s="56" t="str">
        <f>IF($D126="","",TRIM($D122)&amp;" "&amp;CHAR(40)&amp;TRIM($D126)&amp;CHAR(41))</f>
        <v/>
      </c>
      <c r="CO126" s="57" t="str">
        <f t="shared" ref="CO126:CO130" si="12">SUBSTITUTE(SUBSTITUTE(SUBSTITUTE(SUBSTITUTE(A126, "(",""),")","")," ",""),"#","")</f>
        <v/>
      </c>
    </row>
    <row r="127" spans="1:93" x14ac:dyDescent="0.25">
      <c r="A127" s="56" t="str">
        <f t="shared" ref="A127:A130" si="13">IF($D127="","",TRIM($C127)&amp;" "&amp;CHAR(40)&amp;TRIM($D127)&amp;CHAR(41))</f>
        <v/>
      </c>
      <c r="CO127" s="57" t="str">
        <f t="shared" si="12"/>
        <v/>
      </c>
    </row>
    <row r="128" spans="1:93" x14ac:dyDescent="0.25">
      <c r="A128" s="56" t="str">
        <f t="shared" si="13"/>
        <v/>
      </c>
      <c r="CO128" s="57" t="str">
        <f t="shared" si="12"/>
        <v/>
      </c>
    </row>
    <row r="129" spans="1:93" x14ac:dyDescent="0.25">
      <c r="A129" s="56" t="str">
        <f t="shared" si="13"/>
        <v/>
      </c>
      <c r="CO129" s="57" t="str">
        <f t="shared" si="12"/>
        <v/>
      </c>
    </row>
    <row r="130" spans="1:93" x14ac:dyDescent="0.25">
      <c r="A130" s="56" t="str">
        <f t="shared" si="13"/>
        <v/>
      </c>
      <c r="CO130" s="57" t="str">
        <f t="shared" si="12"/>
        <v/>
      </c>
    </row>
    <row r="131" spans="1:93" x14ac:dyDescent="0.25">
      <c r="A131" s="56"/>
      <c r="CO131" s="57"/>
    </row>
    <row r="132" spans="1:93" x14ac:dyDescent="0.25">
      <c r="A132" s="56"/>
      <c r="CO132" s="57"/>
    </row>
    <row r="133" spans="1:93" x14ac:dyDescent="0.25">
      <c r="A133" s="56"/>
      <c r="CO133" s="57"/>
    </row>
    <row r="134" spans="1:93" x14ac:dyDescent="0.25">
      <c r="A134" s="56"/>
      <c r="CO134" s="57"/>
    </row>
    <row r="135" spans="1:93" x14ac:dyDescent="0.25">
      <c r="A135" s="56"/>
      <c r="CO135" s="57"/>
    </row>
    <row r="136" spans="1:93" x14ac:dyDescent="0.25">
      <c r="A136" s="56"/>
      <c r="CO136" s="57"/>
    </row>
    <row r="137" spans="1:93" x14ac:dyDescent="0.25">
      <c r="A137" s="56"/>
      <c r="CO137" s="57"/>
    </row>
    <row r="138" spans="1:93" x14ac:dyDescent="0.25">
      <c r="A138" s="56"/>
      <c r="CO138" s="57"/>
    </row>
    <row r="139" spans="1:93" x14ac:dyDescent="0.25">
      <c r="A139" s="56"/>
      <c r="CO139" s="57"/>
    </row>
    <row r="140" spans="1:93" x14ac:dyDescent="0.25">
      <c r="A140" s="56"/>
      <c r="CO140" s="57"/>
    </row>
    <row r="141" spans="1:93" x14ac:dyDescent="0.25">
      <c r="A141" s="56"/>
      <c r="CO141" s="57"/>
    </row>
    <row r="142" spans="1:93" x14ac:dyDescent="0.25">
      <c r="A142" s="56"/>
      <c r="CO142" s="57"/>
    </row>
    <row r="143" spans="1:93" x14ac:dyDescent="0.25">
      <c r="A143" s="56"/>
      <c r="CO143" s="57"/>
    </row>
    <row r="144" spans="1:93" x14ac:dyDescent="0.25">
      <c r="A144" s="56"/>
      <c r="CO144" s="57"/>
    </row>
    <row r="145" spans="1:93" x14ac:dyDescent="0.25">
      <c r="A145" s="56"/>
      <c r="CO145" s="57"/>
    </row>
    <row r="146" spans="1:93" x14ac:dyDescent="0.25">
      <c r="A146" s="56"/>
      <c r="CO146" s="57"/>
    </row>
    <row r="147" spans="1:93" x14ac:dyDescent="0.25">
      <c r="A147" s="56"/>
      <c r="CO147" s="57"/>
    </row>
    <row r="148" spans="1:93" x14ac:dyDescent="0.25">
      <c r="A148" s="56"/>
      <c r="CO148" s="57"/>
    </row>
    <row r="149" spans="1:93" x14ac:dyDescent="0.25">
      <c r="A149" s="56"/>
      <c r="CO149" s="57"/>
    </row>
    <row r="150" spans="1:93" x14ac:dyDescent="0.25">
      <c r="A150" s="56"/>
      <c r="CO150" s="57"/>
    </row>
    <row r="151" spans="1:93" x14ac:dyDescent="0.25">
      <c r="A151" s="56"/>
      <c r="CO151" s="57"/>
    </row>
    <row r="152" spans="1:93" x14ac:dyDescent="0.25">
      <c r="A152" s="56"/>
      <c r="CO152" s="57"/>
    </row>
    <row r="153" spans="1:93" x14ac:dyDescent="0.25">
      <c r="A153" s="56"/>
      <c r="CO153" s="57"/>
    </row>
    <row r="154" spans="1:93" x14ac:dyDescent="0.25">
      <c r="A154" s="56"/>
      <c r="CO154" s="57"/>
    </row>
    <row r="155" spans="1:93" x14ac:dyDescent="0.25">
      <c r="A155" s="56"/>
      <c r="CO155" s="57"/>
    </row>
    <row r="156" spans="1:93" x14ac:dyDescent="0.25">
      <c r="A156" s="56"/>
      <c r="CO156" s="57"/>
    </row>
    <row r="157" spans="1:93" x14ac:dyDescent="0.25">
      <c r="A157" s="56"/>
      <c r="CO157" s="57"/>
    </row>
    <row r="158" spans="1:93" x14ac:dyDescent="0.25">
      <c r="A158" s="56"/>
      <c r="CO158" s="57"/>
    </row>
    <row r="159" spans="1:93" x14ac:dyDescent="0.25">
      <c r="A159" s="56"/>
      <c r="CO159" s="57"/>
    </row>
    <row r="160" spans="1:93" x14ac:dyDescent="0.25">
      <c r="A160" s="56"/>
      <c r="CO160" s="57"/>
    </row>
  </sheetData>
  <sheetProtection formatCells="0" formatColumns="0" formatRows="0" insertColumns="0" insertRows="0" deleteColumns="0" deleteRows="0" sort="0" autoFilter="0"/>
  <mergeCells count="11">
    <mergeCell ref="C2:D2"/>
    <mergeCell ref="B1:D1"/>
    <mergeCell ref="E1:H1"/>
    <mergeCell ref="I1:R1"/>
    <mergeCell ref="S1:W1"/>
    <mergeCell ref="S2:W2"/>
    <mergeCell ref="X1:AK1"/>
    <mergeCell ref="CQ1:CT1"/>
    <mergeCell ref="BN1:CP1"/>
    <mergeCell ref="BG1:BJ1"/>
    <mergeCell ref="BK1:BM1"/>
  </mergeCells>
  <conditionalFormatting sqref="D1:D31 D123:D1048576">
    <cfRule type="duplicateValues" dxfId="102" priority="1"/>
  </conditionalFormatting>
  <dataValidations count="14">
    <dataValidation type="whole" allowBlank="1" showInputMessage="1" showErrorMessage="1" sqref="H4:H69 H123:H260">
      <formula1>1</formula1>
      <formula2>2</formula2>
    </dataValidation>
    <dataValidation type="decimal" operator="greaterThanOrEqual" allowBlank="1" showInputMessage="1" showErrorMessage="1" sqref="AH4:AH260 BB4:BE260 AF4:AF260 AA4:AD260 J4:J260">
      <formula1>0</formula1>
    </dataValidation>
    <dataValidation type="whole" allowBlank="1" showInputMessage="1" showErrorMessage="1" sqref="AI4:AI260">
      <formula1>1</formula1>
      <formula2>10</formula2>
    </dataValidation>
    <dataValidation type="whole" allowBlank="1" showInputMessage="1" showErrorMessage="1" sqref="BH4:BH260 AZ4:AZ260 AR4:AR260 AV4:AV260 AN4:AN260">
      <formula1>0</formula1>
      <formula2>24</formula2>
    </dataValidation>
    <dataValidation type="whole" allowBlank="1" showInputMessage="1" showErrorMessage="1" sqref="AG4:AG260">
      <formula1>0</formula1>
      <formula2>9</formula2>
    </dataValidation>
    <dataValidation type="whole" allowBlank="1" showInputMessage="1" showErrorMessage="1" sqref="AE4:AE260">
      <formula1>0</formula1>
      <formula2>5</formula2>
    </dataValidation>
    <dataValidation type="decimal" operator="greaterThanOrEqual" allowBlank="1" showInputMessage="1" showErrorMessage="1" sqref="F4:F260">
      <formula1>1</formula1>
    </dataValidation>
    <dataValidation type="whole" allowBlank="1" showInputMessage="1" showErrorMessage="1" sqref="BL4:BL260">
      <formula1>0</formula1>
      <formula2>0</formula2>
    </dataValidation>
    <dataValidation type="custom" allowBlank="1" showInputMessage="1" showErrorMessage="1" sqref="D122">
      <formula1>COUNTIF($C:$D, E126)&lt;=1</formula1>
    </dataValidation>
    <dataValidation type="custom" allowBlank="1" showInputMessage="1" showErrorMessage="1" sqref="A127:A260 D123:D260 C4:D31 C127:C260 C123:C125 A4:A125 E52:E74 E80:E89 E93:E94 E103:E122">
      <formula1>COUNTIF($C:$D, C4)&lt;=1</formula1>
    </dataValidation>
    <dataValidation type="custom" allowBlank="1" showInputMessage="1" showErrorMessage="1" sqref="D32:D121">
      <formula1>COUNTIF($C:$D, E32)&lt;=1</formula1>
    </dataValidation>
    <dataValidation type="custom" allowBlank="1" showInputMessage="1" showErrorMessage="1" sqref="A126">
      <formula1>COUNTIF($C:$D, D122)&lt;=1</formula1>
    </dataValidation>
    <dataValidation type="list" allowBlank="1" showInputMessage="1" showErrorMessage="1" sqref="E1:E51 E75:E79 E90:E92 E95:E102 E123:E1048576">
      <formula1>$A$4:$A$122</formula1>
    </dataValidation>
    <dataValidation type="whole" allowBlank="1" showInputMessage="1" showErrorMessage="1" errorTitle="Style Type Error" error="You must input a number that corresponds to a wdStyleType value: wdStyleTypeParagraph=1; wdStyleTypeCharacter-2; wdStyleTypeTable=3" sqref="H70:H122">
      <formula1>1</formula1>
      <formula2>4</formula2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validation_menus!$A$2:$A$3</xm:f>
          </x14:formula1>
          <xm:sqref>CT4:CT260 CQ4:CQ260 AP4:AP260 X4:Z260 BS4:CK260 G4:G260 K4:L260 N4:V260 AJ4:AK260 BM4:BM260</xm:sqref>
        </x14:dataValidation>
        <x14:dataValidation type="list" allowBlank="1" showInputMessage="1" showErrorMessage="1">
          <x14:formula1>
            <xm:f>validation_menus!$B$2:$B$10</xm:f>
          </x14:formula1>
          <xm:sqref>BI4:BI260 BA4:BA260 AS4:AS260 AW4:AW260 AO4:AO260</xm:sqref>
        </x14:dataValidation>
        <x14:dataValidation type="list" allowBlank="1" showInputMessage="1" showErrorMessage="1">
          <x14:formula1>
            <xm:f>validation_menus!$C$2:$C$3</xm:f>
          </x14:formula1>
          <xm:sqref>BK4:BK260</xm:sqref>
        </x14:dataValidation>
        <x14:dataValidation type="list" allowBlank="1" showInputMessage="1" showErrorMessage="1">
          <x14:formula1>
            <xm:f>validation_menus!$D$2:$D$95</xm:f>
          </x14:formula1>
          <xm:sqref>W4:W260</xm:sqref>
        </x14:dataValidation>
        <x14:dataValidation type="list" allowBlank="1" showInputMessage="1" showErrorMessage="1">
          <x14:formula1>
            <xm:f>validation_menus!$E$2:$E$6</xm:f>
          </x14:formula1>
          <xm:sqref>I4:I260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E5" sqref="E5:E6"/>
    </sheetView>
  </sheetViews>
  <sheetFormatPr defaultColWidth="11" defaultRowHeight="15.75" x14ac:dyDescent="0.25"/>
  <cols>
    <col min="2" max="2" width="15" bestFit="1" customWidth="1"/>
    <col min="3" max="3" width="13.25" customWidth="1"/>
  </cols>
  <sheetData>
    <row r="1" spans="1:6" x14ac:dyDescent="0.25">
      <c r="A1" t="s">
        <v>136</v>
      </c>
      <c r="B1" t="s">
        <v>134</v>
      </c>
      <c r="C1" t="s">
        <v>135</v>
      </c>
      <c r="D1" t="s">
        <v>133</v>
      </c>
      <c r="E1" t="s">
        <v>237</v>
      </c>
    </row>
    <row r="2" spans="1:6" x14ac:dyDescent="0.25">
      <c r="A2" t="b">
        <v>1</v>
      </c>
      <c r="B2">
        <v>2</v>
      </c>
      <c r="C2" t="s">
        <v>0</v>
      </c>
      <c r="D2" t="s">
        <v>137</v>
      </c>
      <c r="E2" s="55" t="s">
        <v>1</v>
      </c>
    </row>
    <row r="3" spans="1:6" x14ac:dyDescent="0.25">
      <c r="A3" t="b">
        <v>0</v>
      </c>
      <c r="B3">
        <v>4</v>
      </c>
      <c r="C3" t="s">
        <v>74</v>
      </c>
      <c r="D3" t="s">
        <v>138</v>
      </c>
      <c r="E3" s="55" t="s">
        <v>2</v>
      </c>
    </row>
    <row r="4" spans="1:6" x14ac:dyDescent="0.25">
      <c r="B4">
        <v>6</v>
      </c>
      <c r="D4" t="s">
        <v>139</v>
      </c>
      <c r="E4" s="55" t="s">
        <v>71</v>
      </c>
    </row>
    <row r="5" spans="1:6" x14ac:dyDescent="0.25">
      <c r="B5">
        <v>8</v>
      </c>
      <c r="D5" t="s">
        <v>140</v>
      </c>
      <c r="E5" s="55" t="s">
        <v>79</v>
      </c>
    </row>
    <row r="6" spans="1:6" x14ac:dyDescent="0.25">
      <c r="B6">
        <v>12</v>
      </c>
      <c r="D6" t="s">
        <v>141</v>
      </c>
      <c r="E6" s="55" t="s">
        <v>69</v>
      </c>
    </row>
    <row r="7" spans="1:6" x14ac:dyDescent="0.25">
      <c r="B7">
        <v>18</v>
      </c>
      <c r="D7" t="s">
        <v>142</v>
      </c>
      <c r="E7" s="55"/>
      <c r="F7" s="55"/>
    </row>
    <row r="8" spans="1:6" x14ac:dyDescent="0.25">
      <c r="B8">
        <v>24</v>
      </c>
      <c r="D8" t="s">
        <v>143</v>
      </c>
      <c r="E8" s="55"/>
    </row>
    <row r="9" spans="1:6" x14ac:dyDescent="0.25">
      <c r="B9">
        <v>36</v>
      </c>
      <c r="D9" t="s">
        <v>144</v>
      </c>
      <c r="E9" s="55"/>
    </row>
    <row r="10" spans="1:6" x14ac:dyDescent="0.25">
      <c r="B10">
        <v>48</v>
      </c>
      <c r="D10" t="s">
        <v>145</v>
      </c>
      <c r="E10" s="55"/>
    </row>
    <row r="11" spans="1:6" ht="16.5" x14ac:dyDescent="0.25">
      <c r="A11" s="1"/>
      <c r="D11" t="s">
        <v>146</v>
      </c>
      <c r="E11" s="55"/>
    </row>
    <row r="12" spans="1:6" ht="16.5" x14ac:dyDescent="0.25">
      <c r="A12" s="1"/>
      <c r="D12" t="s">
        <v>147</v>
      </c>
      <c r="E12" s="55"/>
    </row>
    <row r="13" spans="1:6" x14ac:dyDescent="0.25">
      <c r="D13" t="s">
        <v>148</v>
      </c>
      <c r="E13" s="55"/>
    </row>
    <row r="14" spans="1:6" x14ac:dyDescent="0.25">
      <c r="D14" t="s">
        <v>149</v>
      </c>
      <c r="E14" s="55"/>
    </row>
    <row r="15" spans="1:6" x14ac:dyDescent="0.25">
      <c r="D15" t="s">
        <v>150</v>
      </c>
      <c r="E15" s="55"/>
    </row>
    <row r="16" spans="1:6" ht="16.5" x14ac:dyDescent="0.25">
      <c r="A16" s="2"/>
      <c r="D16" t="s">
        <v>151</v>
      </c>
      <c r="E16" s="55"/>
    </row>
    <row r="17" spans="4:5" x14ac:dyDescent="0.25">
      <c r="D17" t="s">
        <v>152</v>
      </c>
      <c r="E17" s="55"/>
    </row>
    <row r="18" spans="4:5" x14ac:dyDescent="0.25">
      <c r="D18" t="s">
        <v>153</v>
      </c>
      <c r="E18" s="55"/>
    </row>
    <row r="19" spans="4:5" x14ac:dyDescent="0.25">
      <c r="D19" t="s">
        <v>154</v>
      </c>
      <c r="E19" s="55"/>
    </row>
    <row r="20" spans="4:5" x14ac:dyDescent="0.25">
      <c r="D20" t="s">
        <v>155</v>
      </c>
      <c r="E20" s="55"/>
    </row>
    <row r="21" spans="4:5" x14ac:dyDescent="0.25">
      <c r="D21" t="s">
        <v>156</v>
      </c>
      <c r="E21" s="55"/>
    </row>
    <row r="22" spans="4:5" x14ac:dyDescent="0.25">
      <c r="D22" t="s">
        <v>157</v>
      </c>
      <c r="E22" s="55"/>
    </row>
    <row r="23" spans="4:5" x14ac:dyDescent="0.25">
      <c r="D23" t="s">
        <v>158</v>
      </c>
      <c r="E23" s="55"/>
    </row>
    <row r="24" spans="4:5" x14ac:dyDescent="0.25">
      <c r="D24" t="s">
        <v>159</v>
      </c>
      <c r="E24" s="55"/>
    </row>
    <row r="25" spans="4:5" x14ac:dyDescent="0.25">
      <c r="D25" t="s">
        <v>160</v>
      </c>
      <c r="E25" s="55"/>
    </row>
    <row r="26" spans="4:5" x14ac:dyDescent="0.25">
      <c r="D26" t="s">
        <v>161</v>
      </c>
      <c r="E26" s="55"/>
    </row>
    <row r="27" spans="4:5" x14ac:dyDescent="0.25">
      <c r="D27" t="s">
        <v>162</v>
      </c>
    </row>
    <row r="28" spans="4:5" x14ac:dyDescent="0.25">
      <c r="D28" t="s">
        <v>163</v>
      </c>
    </row>
    <row r="29" spans="4:5" x14ac:dyDescent="0.25">
      <c r="D29" t="s">
        <v>164</v>
      </c>
    </row>
    <row r="30" spans="4:5" x14ac:dyDescent="0.25">
      <c r="D30" t="s">
        <v>165</v>
      </c>
    </row>
    <row r="31" spans="4:5" x14ac:dyDescent="0.25">
      <c r="D31" t="s">
        <v>166</v>
      </c>
    </row>
    <row r="32" spans="4:5" x14ac:dyDescent="0.25">
      <c r="D32" t="s">
        <v>167</v>
      </c>
    </row>
    <row r="33" spans="4:4" x14ac:dyDescent="0.25">
      <c r="D33" t="s">
        <v>168</v>
      </c>
    </row>
    <row r="34" spans="4:4" x14ac:dyDescent="0.25">
      <c r="D34" t="s">
        <v>169</v>
      </c>
    </row>
    <row r="35" spans="4:4" x14ac:dyDescent="0.25">
      <c r="D35" t="s">
        <v>170</v>
      </c>
    </row>
    <row r="36" spans="4:4" x14ac:dyDescent="0.25">
      <c r="D36" t="s">
        <v>171</v>
      </c>
    </row>
    <row r="37" spans="4:4" x14ac:dyDescent="0.25">
      <c r="D37" t="s">
        <v>172</v>
      </c>
    </row>
    <row r="38" spans="4:4" x14ac:dyDescent="0.25">
      <c r="D38" t="s">
        <v>173</v>
      </c>
    </row>
    <row r="39" spans="4:4" x14ac:dyDescent="0.25">
      <c r="D39" t="s">
        <v>174</v>
      </c>
    </row>
    <row r="40" spans="4:4" x14ac:dyDescent="0.25">
      <c r="D40" t="s">
        <v>175</v>
      </c>
    </row>
    <row r="41" spans="4:4" x14ac:dyDescent="0.25">
      <c r="D41" t="s">
        <v>176</v>
      </c>
    </row>
    <row r="42" spans="4:4" x14ac:dyDescent="0.25">
      <c r="D42" t="s">
        <v>177</v>
      </c>
    </row>
    <row r="43" spans="4:4" x14ac:dyDescent="0.25">
      <c r="D43" t="s">
        <v>178</v>
      </c>
    </row>
    <row r="44" spans="4:4" x14ac:dyDescent="0.25">
      <c r="D44" t="s">
        <v>179</v>
      </c>
    </row>
    <row r="45" spans="4:4" x14ac:dyDescent="0.25">
      <c r="D45" t="s">
        <v>180</v>
      </c>
    </row>
    <row r="46" spans="4:4" x14ac:dyDescent="0.25">
      <c r="D46" t="s">
        <v>181</v>
      </c>
    </row>
    <row r="47" spans="4:4" x14ac:dyDescent="0.25">
      <c r="D47" t="s">
        <v>182</v>
      </c>
    </row>
    <row r="48" spans="4:4" x14ac:dyDescent="0.25">
      <c r="D48" t="s">
        <v>183</v>
      </c>
    </row>
    <row r="49" spans="4:4" x14ac:dyDescent="0.25">
      <c r="D49" t="s">
        <v>184</v>
      </c>
    </row>
    <row r="50" spans="4:4" x14ac:dyDescent="0.25">
      <c r="D50" t="s">
        <v>185</v>
      </c>
    </row>
    <row r="51" spans="4:4" x14ac:dyDescent="0.25">
      <c r="D51" t="s">
        <v>186</v>
      </c>
    </row>
    <row r="52" spans="4:4" x14ac:dyDescent="0.25">
      <c r="D52" t="s">
        <v>187</v>
      </c>
    </row>
    <row r="53" spans="4:4" x14ac:dyDescent="0.25">
      <c r="D53" t="s">
        <v>188</v>
      </c>
    </row>
    <row r="54" spans="4:4" x14ac:dyDescent="0.25">
      <c r="D54" t="s">
        <v>189</v>
      </c>
    </row>
    <row r="55" spans="4:4" x14ac:dyDescent="0.25">
      <c r="D55" t="s">
        <v>190</v>
      </c>
    </row>
    <row r="56" spans="4:4" x14ac:dyDescent="0.25">
      <c r="D56" t="s">
        <v>191</v>
      </c>
    </row>
    <row r="57" spans="4:4" x14ac:dyDescent="0.25">
      <c r="D57" t="s">
        <v>192</v>
      </c>
    </row>
    <row r="58" spans="4:4" x14ac:dyDescent="0.25">
      <c r="D58" t="s">
        <v>193</v>
      </c>
    </row>
    <row r="59" spans="4:4" x14ac:dyDescent="0.25">
      <c r="D59" t="s">
        <v>194</v>
      </c>
    </row>
    <row r="60" spans="4:4" x14ac:dyDescent="0.25">
      <c r="D60" t="s">
        <v>195</v>
      </c>
    </row>
    <row r="61" spans="4:4" x14ac:dyDescent="0.25">
      <c r="D61" t="s">
        <v>196</v>
      </c>
    </row>
    <row r="62" spans="4:4" x14ac:dyDescent="0.25">
      <c r="D62" t="s">
        <v>197</v>
      </c>
    </row>
    <row r="63" spans="4:4" x14ac:dyDescent="0.25">
      <c r="D63" t="s">
        <v>198</v>
      </c>
    </row>
    <row r="64" spans="4:4" x14ac:dyDescent="0.25">
      <c r="D64" t="s">
        <v>199</v>
      </c>
    </row>
    <row r="65" spans="4:4" x14ac:dyDescent="0.25">
      <c r="D65" t="s">
        <v>200</v>
      </c>
    </row>
    <row r="66" spans="4:4" x14ac:dyDescent="0.25">
      <c r="D66" t="s">
        <v>201</v>
      </c>
    </row>
    <row r="67" spans="4:4" x14ac:dyDescent="0.25">
      <c r="D67" t="s">
        <v>202</v>
      </c>
    </row>
    <row r="68" spans="4:4" x14ac:dyDescent="0.25">
      <c r="D68" t="s">
        <v>203</v>
      </c>
    </row>
    <row r="69" spans="4:4" x14ac:dyDescent="0.25">
      <c r="D69" t="s">
        <v>204</v>
      </c>
    </row>
    <row r="70" spans="4:4" x14ac:dyDescent="0.25">
      <c r="D70" t="s">
        <v>205</v>
      </c>
    </row>
    <row r="71" spans="4:4" x14ac:dyDescent="0.25">
      <c r="D71" t="s">
        <v>206</v>
      </c>
    </row>
    <row r="72" spans="4:4" x14ac:dyDescent="0.25">
      <c r="D72" t="s">
        <v>207</v>
      </c>
    </row>
    <row r="73" spans="4:4" x14ac:dyDescent="0.25">
      <c r="D73" t="s">
        <v>208</v>
      </c>
    </row>
    <row r="74" spans="4:4" x14ac:dyDescent="0.25">
      <c r="D74" t="s">
        <v>209</v>
      </c>
    </row>
    <row r="75" spans="4:4" x14ac:dyDescent="0.25">
      <c r="D75" t="s">
        <v>210</v>
      </c>
    </row>
    <row r="76" spans="4:4" x14ac:dyDescent="0.25">
      <c r="D76" t="s">
        <v>211</v>
      </c>
    </row>
    <row r="77" spans="4:4" x14ac:dyDescent="0.25">
      <c r="D77" t="s">
        <v>212</v>
      </c>
    </row>
    <row r="78" spans="4:4" x14ac:dyDescent="0.25">
      <c r="D78" t="s">
        <v>213</v>
      </c>
    </row>
    <row r="79" spans="4:4" x14ac:dyDescent="0.25">
      <c r="D79" t="s">
        <v>214</v>
      </c>
    </row>
    <row r="80" spans="4:4" x14ac:dyDescent="0.25">
      <c r="D80" t="s">
        <v>215</v>
      </c>
    </row>
    <row r="81" spans="4:4" x14ac:dyDescent="0.25">
      <c r="D81" t="s">
        <v>216</v>
      </c>
    </row>
    <row r="82" spans="4:4" x14ac:dyDescent="0.25">
      <c r="D82" t="s">
        <v>217</v>
      </c>
    </row>
    <row r="83" spans="4:4" x14ac:dyDescent="0.25">
      <c r="D83" t="s">
        <v>218</v>
      </c>
    </row>
    <row r="84" spans="4:4" x14ac:dyDescent="0.25">
      <c r="D84" t="s">
        <v>219</v>
      </c>
    </row>
    <row r="85" spans="4:4" x14ac:dyDescent="0.25">
      <c r="D85" t="s">
        <v>220</v>
      </c>
    </row>
    <row r="86" spans="4:4" x14ac:dyDescent="0.25">
      <c r="D86" t="s">
        <v>221</v>
      </c>
    </row>
    <row r="87" spans="4:4" x14ac:dyDescent="0.25">
      <c r="D87" t="s">
        <v>222</v>
      </c>
    </row>
    <row r="88" spans="4:4" x14ac:dyDescent="0.25">
      <c r="D88" t="s">
        <v>223</v>
      </c>
    </row>
    <row r="89" spans="4:4" x14ac:dyDescent="0.25">
      <c r="D89" t="s">
        <v>224</v>
      </c>
    </row>
    <row r="90" spans="4:4" x14ac:dyDescent="0.25">
      <c r="D90" t="s">
        <v>225</v>
      </c>
    </row>
    <row r="91" spans="4:4" x14ac:dyDescent="0.25">
      <c r="D91" t="s">
        <v>226</v>
      </c>
    </row>
    <row r="92" spans="4:4" x14ac:dyDescent="0.25">
      <c r="D92" t="s">
        <v>227</v>
      </c>
    </row>
    <row r="93" spans="4:4" x14ac:dyDescent="0.25">
      <c r="D93" t="s">
        <v>228</v>
      </c>
    </row>
    <row r="94" spans="4:4" x14ac:dyDescent="0.25">
      <c r="D94" t="s">
        <v>229</v>
      </c>
    </row>
    <row r="95" spans="4:4" x14ac:dyDescent="0.25">
      <c r="D95" t="s">
        <v>230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Warren, Erica</cp:lastModifiedBy>
  <dcterms:created xsi:type="dcterms:W3CDTF">2017-01-26T16:06:52Z</dcterms:created>
  <dcterms:modified xsi:type="dcterms:W3CDTF">2017-09-14T07:59:19Z</dcterms:modified>
</cp:coreProperties>
</file>